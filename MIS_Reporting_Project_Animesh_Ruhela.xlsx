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xr:revisionPtr revIDLastSave="0" documentId="13_ncr:1_{63D1A661-24E8-4B67-84CE-39B31B9A0187}" xr6:coauthVersionLast="47" xr6:coauthVersionMax="47" xr10:uidLastSave="{00000000-0000-0000-0000-000000000000}"/>
  <bookViews>
    <workbookView xWindow="-120" yWindow="-120" windowWidth="20730" windowHeight="11160" tabRatio="500" firstSheet="1" activeTab="1" xr2:uid="{00000000-000D-0000-FFFF-FFFF00000000}"/>
  </bookViews>
  <sheets>
    <sheet name="Raw Data" sheetId="1" r:id="rId1"/>
    <sheet name="Monthly MIS Report" sheetId="2" r:id="rId2"/>
    <sheet name="Weekly MIS" sheetId="6" r:id="rId3"/>
    <sheet name="Product Analysis" sheetId="5" r:id="rId4"/>
    <sheet name="Regional Analysis" sheetId="3" r:id="rId5"/>
    <sheet name="KPI Dashboard" sheetId="4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4" l="1"/>
  <c r="C19" i="4"/>
  <c r="B20" i="4"/>
  <c r="C20" i="4"/>
  <c r="B21" i="4"/>
  <c r="C21" i="4"/>
  <c r="B22" i="4"/>
  <c r="C22" i="4"/>
  <c r="B23" i="4"/>
  <c r="C23" i="4"/>
  <c r="F16" i="6"/>
  <c r="C16" i="6"/>
  <c r="B16" i="6"/>
  <c r="D16" i="6" s="1"/>
  <c r="G16" i="6" s="1"/>
  <c r="E15" i="6"/>
  <c r="D15" i="6"/>
  <c r="G15" i="6" s="1"/>
  <c r="E14" i="6"/>
  <c r="D14" i="6"/>
  <c r="G14" i="6" s="1"/>
  <c r="E13" i="6"/>
  <c r="D13" i="6"/>
  <c r="G13" i="6" s="1"/>
  <c r="E12" i="6"/>
  <c r="D12" i="6"/>
  <c r="G12" i="6" s="1"/>
  <c r="E11" i="6"/>
  <c r="D11" i="6"/>
  <c r="G11" i="6" s="1"/>
  <c r="E10" i="6"/>
  <c r="D10" i="6"/>
  <c r="G10" i="6" s="1"/>
  <c r="E9" i="6"/>
  <c r="D9" i="6"/>
  <c r="G9" i="6" s="1"/>
  <c r="E8" i="6"/>
  <c r="D8" i="6"/>
  <c r="G8" i="6" s="1"/>
  <c r="E7" i="6"/>
  <c r="D7" i="6"/>
  <c r="G7" i="6" s="1"/>
  <c r="E6" i="6"/>
  <c r="D6" i="6"/>
  <c r="G6" i="6" s="1"/>
  <c r="E5" i="6"/>
  <c r="D5" i="6"/>
  <c r="G5" i="6" s="1"/>
  <c r="D4" i="6"/>
  <c r="G4" i="6" s="1"/>
  <c r="E8" i="5"/>
  <c r="C8" i="5"/>
  <c r="B8" i="5"/>
  <c r="E7" i="5"/>
  <c r="C7" i="5"/>
  <c r="B7" i="5"/>
  <c r="E6" i="5"/>
  <c r="C6" i="5"/>
  <c r="B6" i="5"/>
  <c r="E5" i="5"/>
  <c r="C5" i="5"/>
  <c r="B5" i="5"/>
  <c r="E4" i="5"/>
  <c r="E9" i="5" s="1"/>
  <c r="C4" i="5"/>
  <c r="C9" i="5" s="1"/>
  <c r="B4" i="5"/>
  <c r="E9" i="3"/>
  <c r="C9" i="3"/>
  <c r="B9" i="3"/>
  <c r="E8" i="3"/>
  <c r="C8" i="3"/>
  <c r="B8" i="3"/>
  <c r="E7" i="3"/>
  <c r="C7" i="3"/>
  <c r="B7" i="3"/>
  <c r="E6" i="3"/>
  <c r="C6" i="3"/>
  <c r="B6" i="3"/>
  <c r="E5" i="3"/>
  <c r="E10" i="3" s="1"/>
  <c r="C5" i="3"/>
  <c r="B5" i="3"/>
  <c r="F16" i="2"/>
  <c r="C16" i="2"/>
  <c r="N14" i="4" s="1"/>
  <c r="B16" i="2"/>
  <c r="F15" i="2"/>
  <c r="C15" i="2"/>
  <c r="N13" i="4" s="1"/>
  <c r="B15" i="2"/>
  <c r="F14" i="2"/>
  <c r="C14" i="2"/>
  <c r="B14" i="2"/>
  <c r="F13" i="2"/>
  <c r="C13" i="2"/>
  <c r="N11" i="4" s="1"/>
  <c r="B13" i="2"/>
  <c r="M11" i="4" s="1"/>
  <c r="F12" i="2"/>
  <c r="C12" i="2"/>
  <c r="N10" i="4" s="1"/>
  <c r="B12" i="2"/>
  <c r="M10" i="4" s="1"/>
  <c r="F11" i="2"/>
  <c r="C11" i="2"/>
  <c r="N9" i="4" s="1"/>
  <c r="B11" i="2"/>
  <c r="M9" i="4" s="1"/>
  <c r="F10" i="2"/>
  <c r="C10" i="2"/>
  <c r="N8" i="4" s="1"/>
  <c r="B10" i="2"/>
  <c r="F9" i="2"/>
  <c r="C9" i="2"/>
  <c r="N7" i="4" s="1"/>
  <c r="B9" i="2"/>
  <c r="F8" i="2"/>
  <c r="C8" i="2"/>
  <c r="N6" i="4" s="1"/>
  <c r="B8" i="2"/>
  <c r="F7" i="2"/>
  <c r="C7" i="2"/>
  <c r="N5" i="4" s="1"/>
  <c r="B7" i="2"/>
  <c r="F6" i="2"/>
  <c r="C6" i="2"/>
  <c r="N4" i="4" s="1"/>
  <c r="B6" i="2"/>
  <c r="F5" i="2"/>
  <c r="C5" i="2"/>
  <c r="N3" i="4" s="1"/>
  <c r="B5" i="2"/>
  <c r="F6" i="5" l="1"/>
  <c r="D6" i="5"/>
  <c r="F8" i="5"/>
  <c r="D8" i="5"/>
  <c r="F7" i="5"/>
  <c r="D7" i="5"/>
  <c r="F5" i="5"/>
  <c r="D5" i="5"/>
  <c r="B9" i="5"/>
  <c r="F4" i="5"/>
  <c r="D4" i="5"/>
  <c r="D9" i="3"/>
  <c r="G9" i="3"/>
  <c r="F9" i="3"/>
  <c r="D8" i="3"/>
  <c r="F8" i="3"/>
  <c r="G8" i="3"/>
  <c r="F7" i="3"/>
  <c r="D7" i="3"/>
  <c r="G7" i="3"/>
  <c r="D6" i="3"/>
  <c r="G6" i="3"/>
  <c r="F6" i="3"/>
  <c r="C10" i="3"/>
  <c r="D5" i="3"/>
  <c r="F5" i="3"/>
  <c r="G5" i="3"/>
  <c r="B10" i="3"/>
  <c r="A11" i="4"/>
  <c r="E17" i="2"/>
  <c r="H8" i="4" s="1"/>
  <c r="G16" i="2"/>
  <c r="E16" i="2"/>
  <c r="M14" i="4"/>
  <c r="D16" i="2"/>
  <c r="H16" i="2" s="1"/>
  <c r="M13" i="4"/>
  <c r="G15" i="2"/>
  <c r="E15" i="2"/>
  <c r="D15" i="2"/>
  <c r="H15" i="2" s="1"/>
  <c r="C17" i="2"/>
  <c r="E5" i="4" s="1"/>
  <c r="N12" i="4"/>
  <c r="E14" i="2"/>
  <c r="M12" i="4"/>
  <c r="B17" i="2"/>
  <c r="D14" i="2"/>
  <c r="H14" i="2" s="1"/>
  <c r="G14" i="2"/>
  <c r="F17" i="2"/>
  <c r="B8" i="4" s="1"/>
  <c r="G13" i="2"/>
  <c r="E13" i="2"/>
  <c r="D13" i="2"/>
  <c r="H13" i="2" s="1"/>
  <c r="E12" i="2"/>
  <c r="D12" i="2"/>
  <c r="H12" i="2" s="1"/>
  <c r="G12" i="2"/>
  <c r="G11" i="2"/>
  <c r="E11" i="2"/>
  <c r="D11" i="2"/>
  <c r="H11" i="2" s="1"/>
  <c r="M8" i="4"/>
  <c r="G10" i="2"/>
  <c r="E10" i="2"/>
  <c r="D10" i="2"/>
  <c r="H10" i="2" s="1"/>
  <c r="E9" i="2"/>
  <c r="D9" i="2"/>
  <c r="H9" i="2" s="1"/>
  <c r="M7" i="4"/>
  <c r="G9" i="2"/>
  <c r="M6" i="4"/>
  <c r="G8" i="2"/>
  <c r="E8" i="2"/>
  <c r="D8" i="2"/>
  <c r="H8" i="2" s="1"/>
  <c r="M5" i="4"/>
  <c r="G7" i="2"/>
  <c r="E7" i="2"/>
  <c r="D7" i="2"/>
  <c r="H7" i="2" s="1"/>
  <c r="M4" i="4"/>
  <c r="E6" i="2"/>
  <c r="D6" i="2"/>
  <c r="H6" i="2" s="1"/>
  <c r="G6" i="2"/>
  <c r="M3" i="4"/>
  <c r="G5" i="2"/>
  <c r="D5" i="2"/>
  <c r="H5" i="2" s="1"/>
  <c r="D9" i="5" l="1"/>
  <c r="F9" i="5"/>
  <c r="D10" i="3"/>
  <c r="F10" i="3"/>
  <c r="D17" i="2"/>
  <c r="G17" i="2"/>
  <c r="E8" i="4" s="1"/>
  <c r="B5" i="4"/>
  <c r="H17" i="2" l="1"/>
  <c r="H5" i="4"/>
</calcChain>
</file>

<file path=xl/sharedStrings.xml><?xml version="1.0" encoding="utf-8"?>
<sst xmlns="http://schemas.openxmlformats.org/spreadsheetml/2006/main" count="1324" uniqueCount="96">
  <si>
    <t>SALES RAW DATA — JAN to DEC 2024</t>
  </si>
  <si>
    <t>Date</t>
  </si>
  <si>
    <t>Month</t>
  </si>
  <si>
    <t>Region</t>
  </si>
  <si>
    <t>Product Category</t>
  </si>
  <si>
    <t>Units Sold</t>
  </si>
  <si>
    <t>Unit Price (Rs.)</t>
  </si>
  <si>
    <t>Total Sales (Rs.)</t>
  </si>
  <si>
    <t>Target (Rs.)</t>
  </si>
  <si>
    <t>01/01/2024</t>
  </si>
  <si>
    <t>January</t>
  </si>
  <si>
    <t>North</t>
  </si>
  <si>
    <t>Electronics</t>
  </si>
  <si>
    <t>Clothing</t>
  </si>
  <si>
    <t>Grocery</t>
  </si>
  <si>
    <t>Home Appliances</t>
  </si>
  <si>
    <t>Sports</t>
  </si>
  <si>
    <t>South</t>
  </si>
  <si>
    <t>East</t>
  </si>
  <si>
    <t>West</t>
  </si>
  <si>
    <t>Central</t>
  </si>
  <si>
    <t>02/01/2024</t>
  </si>
  <si>
    <t>February</t>
  </si>
  <si>
    <t>03/01/2024</t>
  </si>
  <si>
    <t>March</t>
  </si>
  <si>
    <t>04/01/2024</t>
  </si>
  <si>
    <t>April</t>
  </si>
  <si>
    <t>05/01/2024</t>
  </si>
  <si>
    <t>May</t>
  </si>
  <si>
    <t>06/01/2024</t>
  </si>
  <si>
    <t>June</t>
  </si>
  <si>
    <t>07/01/2024</t>
  </si>
  <si>
    <t>July</t>
  </si>
  <si>
    <t>08/01/2024</t>
  </si>
  <si>
    <t>August</t>
  </si>
  <si>
    <t>09/01/2024</t>
  </si>
  <si>
    <t>September</t>
  </si>
  <si>
    <t>10/01/2024</t>
  </si>
  <si>
    <t>October</t>
  </si>
  <si>
    <t>11/01/2024</t>
  </si>
  <si>
    <t>November</t>
  </si>
  <si>
    <t>12/01/2024</t>
  </si>
  <si>
    <t>December</t>
  </si>
  <si>
    <t>MONTHLY MIS REPORT — SALES PERFORMANCE 2024</t>
  </si>
  <si>
    <t>Prepared by: Animesh Ruhela  |  Department: Sales Analytics  |  Period: Jan–Dec 2024</t>
  </si>
  <si>
    <t>Achievement %</t>
  </si>
  <si>
    <t>MOM Growth %</t>
  </si>
  <si>
    <t>Avg Sale/Unit (Rs.)</t>
  </si>
  <si>
    <t>Status</t>
  </si>
  <si>
    <t>N/A</t>
  </si>
  <si>
    <t>TOTAL / AVERAGE</t>
  </si>
  <si>
    <t>REGIONAL SALES MIS REPORT — 2024</t>
  </si>
  <si>
    <t>Prepared by: Animesh Ruhela  |  Region-wise Performance Analysis</t>
  </si>
  <si>
    <t>Avg Sale (Rs.)</t>
  </si>
  <si>
    <t>Rank</t>
  </si>
  <si>
    <t>GRAND TOTAL</t>
  </si>
  <si>
    <t>KPI DASHBOARD — SALES MIS REPORT 2024</t>
  </si>
  <si>
    <t>Prepared by: Animesh Ruhela  |  Tools: Excel, Pivot Tables, SUMIF, COUNTIF, DAX-style KPIs</t>
  </si>
  <si>
    <t>TOTAL SALES</t>
  </si>
  <si>
    <t>TOTAL TARGET</t>
  </si>
  <si>
    <t>ACHIEVEMENT %</t>
  </si>
  <si>
    <t>TOTAL UNITS SOLD</t>
  </si>
  <si>
    <t>AVG SALE PER UNIT</t>
  </si>
  <si>
    <t>ANNUAL GROWTH</t>
  </si>
  <si>
    <t>TOP PERFORMING REGION</t>
  </si>
  <si>
    <t>MONTHLY SALES vs TARGET TREND</t>
  </si>
  <si>
    <t>Sales</t>
  </si>
  <si>
    <t>Target</t>
  </si>
  <si>
    <t>REGIONAL SALES COMPARISON</t>
  </si>
  <si>
    <t>PRODUCT CATEGORY MIS REPORT — 2024</t>
  </si>
  <si>
    <t>Avg Price (Rs.)</t>
  </si>
  <si>
    <t>WEEKLY MIS REPORT — Q1 2024 (JAN–MAR)</t>
  </si>
  <si>
    <t>Week</t>
  </si>
  <si>
    <t>Sales (Rs.)</t>
  </si>
  <si>
    <t>WOW Growth %</t>
  </si>
  <si>
    <t>Units</t>
  </si>
  <si>
    <t>Week 1 (Jan 1-7)</t>
  </si>
  <si>
    <t>Week 2 (Jan 8-14)</t>
  </si>
  <si>
    <t>Week 3 (Jan 15-21)</t>
  </si>
  <si>
    <t>Week 4 (Jan 22-31)</t>
  </si>
  <si>
    <t>Week 5 (Feb 1-7)</t>
  </si>
  <si>
    <t>Week 6 (Feb 8-14)</t>
  </si>
  <si>
    <t>Week 7 (Feb 15-21)</t>
  </si>
  <si>
    <t>Week 8 (Feb 22-28)</t>
  </si>
  <si>
    <t>Week 9 (Mar 1-7)</t>
  </si>
  <si>
    <t>Week 10 (Mar 8-14)</t>
  </si>
  <si>
    <t>Week 11 (Mar 15-21)</t>
  </si>
  <si>
    <t>Week 12 (Mar 22-31)</t>
  </si>
  <si>
    <t>Q1 TOTAL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</si>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</sst>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FFFFFF"/>
      <name val="Arial"/>
      <charset val="1"/>
    </font>
    <font>
      <b/>
      <sz val="18"/>
      <color rgb="FF1F4E79"/>
      <name val="Arial"/>
      <charset val="1"/>
    </font>
    <font>
      <b/>
      <sz val="18"/>
      <color rgb="FF2E75B6"/>
      <name val="Arial"/>
      <charset val="1"/>
    </font>
    <font>
      <b/>
      <sz val="18"/>
      <color rgb="FF1A5C38"/>
      <name val="Arial"/>
      <charset val="1"/>
    </font>
    <font>
      <b/>
      <sz val="18"/>
      <color rgb="FFC55A11"/>
      <name val="Arial"/>
      <charset val="1"/>
    </font>
    <font>
      <b/>
      <sz val="16"/>
      <color rgb="FF1F4E79"/>
      <name val="Arial"/>
      <charset val="1"/>
    </font>
    <font>
      <b/>
      <sz val="11"/>
      <color rgb="FFFFFFFF"/>
      <name val="Arial"/>
      <charset val="1"/>
    </font>
    <font>
      <b/>
      <sz val="9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A5C38"/>
      </patternFill>
    </fill>
    <fill>
      <patternFill patternType="solid">
        <fgColor rgb="FF2E75B6"/>
        <bgColor rgb="FF4A7EBB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E8F5EE"/>
      </patternFill>
    </fill>
    <fill>
      <patternFill patternType="solid">
        <fgColor rgb="FFD6E4F0"/>
        <bgColor rgb="FFD9D9D9"/>
      </patternFill>
    </fill>
    <fill>
      <patternFill patternType="solid">
        <fgColor rgb="FFE8F5EE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1A5C38"/>
        <bgColor rgb="FF1F4E79"/>
      </patternFill>
    </fill>
    <fill>
      <patternFill patternType="solid">
        <fgColor rgb="FFC55A11"/>
        <bgColor rgb="FFC0504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3" fillId="3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11" fillId="5" borderId="0" xfId="0" applyNumberFormat="1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center" vertical="center"/>
    </xf>
    <xf numFmtId="3" fontId="9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Arial"/>
        <charset val="1"/>
        <scheme val="none"/>
      </font>
      <fill>
        <patternFill patternType="solid">
          <fgColor rgb="FF1A5C38"/>
          <bgColor rgb="FF1F4E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fill>
        <patternFill patternType="solid">
          <fgColor rgb="FFE8F5EE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fill>
        <patternFill patternType="solid">
          <fgColor rgb="FFE8F5EE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fill>
        <patternFill patternType="solid">
          <fgColor rgb="FFE8F5EE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8F5EE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8F5EE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8F5EE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8F5EE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8F5EE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bottom style="thin">
          <color rgb="FFCCCCCC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2CC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2F2F2"/>
      <rgbColor rgb="FFF9F9F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4A7EBB"/>
      <rgbColor rgb="FF969696"/>
      <rgbColor rgb="FF003366"/>
      <rgbColor rgb="FF4F81BD"/>
      <rgbColor rgb="FF003300"/>
      <rgbColor rgb="FF333300"/>
      <rgbColor rgb="FF993300"/>
      <rgbColor rgb="FFC0504D"/>
      <rgbColor rgb="FF1F4E79"/>
      <rgbColor rgb="FF1A5C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vs Target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Dashboard'!$M$2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Dashboard'!$L$3:$L$14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'KPI Dashboard'!$M$3:$M$14</c:f>
              <c:numCache>
                <c:formatCode>#,##0</c:formatCode>
                <c:ptCount val="12"/>
                <c:pt idx="0">
                  <c:v>3900010</c:v>
                </c:pt>
                <c:pt idx="1">
                  <c:v>4124991</c:v>
                </c:pt>
                <c:pt idx="2">
                  <c:v>3987163</c:v>
                </c:pt>
                <c:pt idx="3">
                  <c:v>4072306</c:v>
                </c:pt>
                <c:pt idx="4">
                  <c:v>3515793</c:v>
                </c:pt>
                <c:pt idx="5">
                  <c:v>4425759</c:v>
                </c:pt>
                <c:pt idx="6">
                  <c:v>4820268</c:v>
                </c:pt>
                <c:pt idx="7">
                  <c:v>4732567</c:v>
                </c:pt>
                <c:pt idx="8">
                  <c:v>3688891</c:v>
                </c:pt>
                <c:pt idx="9">
                  <c:v>3926202</c:v>
                </c:pt>
                <c:pt idx="10">
                  <c:v>4141398</c:v>
                </c:pt>
                <c:pt idx="11">
                  <c:v>3649374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00-4C24-B2BE-37FFC3722D0E}"/>
            </c:ext>
          </c:extLst>
        </c:ser>
        <c:ser>
          <c:idx val="1"/>
          <c:order val="1"/>
          <c:tx>
            <c:strRef>
              <c:f>'KPI Dashboard'!$N$2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Dashboard'!$L$3:$L$14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'KPI Dashboard'!$N$3:$N$14</c:f>
              <c:numCache>
                <c:formatCode>#,##0</c:formatCode>
                <c:ptCount val="12"/>
                <c:pt idx="0">
                  <c:v>3719925</c:v>
                </c:pt>
                <c:pt idx="1">
                  <c:v>4118669</c:v>
                </c:pt>
                <c:pt idx="2">
                  <c:v>3985593</c:v>
                </c:pt>
                <c:pt idx="3">
                  <c:v>4199450</c:v>
                </c:pt>
                <c:pt idx="4">
                  <c:v>3585945</c:v>
                </c:pt>
                <c:pt idx="5">
                  <c:v>4303496</c:v>
                </c:pt>
                <c:pt idx="6">
                  <c:v>4786397</c:v>
                </c:pt>
                <c:pt idx="7">
                  <c:v>4762496</c:v>
                </c:pt>
                <c:pt idx="8">
                  <c:v>3657718</c:v>
                </c:pt>
                <c:pt idx="9">
                  <c:v>3937240</c:v>
                </c:pt>
                <c:pt idx="10">
                  <c:v>4156139</c:v>
                </c:pt>
                <c:pt idx="11">
                  <c:v>3702910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00-4C24-B2BE-37FFC3722D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30008287"/>
        <c:axId val="82867872"/>
      </c:lineChart>
      <c:catAx>
        <c:axId val="30008287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7872"/>
        <c:crosses val="autoZero"/>
        <c:auto val="1"/>
        <c:lblAlgn val="ctr"/>
        <c:lblOffset val="100"/>
        <c:noMultiLvlLbl val="0"/>
      </c:catAx>
      <c:valAx>
        <c:axId val="828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0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 vs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Dashboard'!$B$18</c:f>
              <c:strCache>
                <c:ptCount val="1"/>
                <c:pt idx="0">
                  <c:v>Sales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Dashboard'!$A$19:$A$23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'KPI Dashboard'!$B$19:$B$23</c:f>
              <c:numCache>
                <c:formatCode>#,##0</c:formatCode>
                <c:ptCount val="5"/>
                <c:pt idx="0">
                  <c:v>9681453</c:v>
                </c:pt>
                <c:pt idx="1">
                  <c:v>9862999</c:v>
                </c:pt>
                <c:pt idx="2">
                  <c:v>9831177</c:v>
                </c:pt>
                <c:pt idx="3">
                  <c:v>9949077</c:v>
                </c:pt>
                <c:pt idx="4">
                  <c:v>9660016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1-48AB-97EB-EBD03761745E}"/>
            </c:ext>
          </c:extLst>
        </c:ser>
        <c:ser>
          <c:idx val="1"/>
          <c:order val="1"/>
          <c:tx>
            <c:strRef>
              <c:f>'KPI Dashboard'!$C$18</c:f>
              <c:strCache>
                <c:ptCount val="1"/>
                <c:pt idx="0">
                  <c:v>Target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Dashboard'!$A$19:$A$23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'KPI Dashboard'!$C$19:$C$23</c:f>
              <c:numCache>
                <c:formatCode>#,##0</c:formatCode>
                <c:ptCount val="5"/>
                <c:pt idx="0">
                  <c:v>9751538</c:v>
                </c:pt>
                <c:pt idx="1">
                  <c:v>9831682</c:v>
                </c:pt>
                <c:pt idx="2">
                  <c:v>9839583</c:v>
                </c:pt>
                <c:pt idx="3">
                  <c:v>9919467</c:v>
                </c:pt>
                <c:pt idx="4">
                  <c:v>9573708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1-48AB-97EB-EBD037617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156888"/>
        <c:axId val="6135089"/>
      </c:barChart>
      <c:catAx>
        <c:axId val="22156888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089"/>
        <c:crosses val="autoZero"/>
        <c:auto val="1"/>
        <c:lblAlgn val="ctr"/>
        <c:lblOffset val="100"/>
        <c:noMultiLvlLbl val="0"/>
      </c:catAx>
      <c:valAx>
        <c:axId val="61350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13608</xdr:colOff>
      <xdr:row>0</xdr:row>
      <xdr:rowOff>436786</xdr:rowOff>
    </xdr:from>
    <xdr:to>
      <xdr:col>24</xdr:col>
      <xdr:colOff>338029</xdr:colOff>
      <xdr:row>16</xdr:row>
      <xdr:rowOff>39459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1360</xdr:colOff>
      <xdr:row>15</xdr:row>
      <xdr:rowOff>190499</xdr:rowOff>
    </xdr:from>
    <xdr:to>
      <xdr:col>11</xdr:col>
      <xdr:colOff>337163</xdr:colOff>
      <xdr:row>34</xdr:row>
      <xdr:rowOff>84959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80869-367B-4F52-93E8-F9A196531729}" name="Table1" displayName="Table1" ref="A1:H302" totalsRowShown="0" headerRowDxfId="0" tableBorderDxfId="9">
  <autoFilter ref="A1:H302" xr:uid="{9C480869-367B-4F52-93E8-F9A196531729}"/>
  <tableColumns count="8">
    <tableColumn id="1" xr3:uid="{9E20D2E9-6857-4827-B3C6-51FEAB46EA6E}" name="SALES RAW DATA — JAN to DEC 2024" dataDxfId="8"/>
    <tableColumn id="2" xr3:uid="{D3DA47E5-CCB8-4416-9971-A6E0B84F3DCC}" name="Column1" dataDxfId="7"/>
    <tableColumn id="3" xr3:uid="{360F8F59-4D38-4372-AC5C-A301F4638F6F}" name="Column2" dataDxfId="6"/>
    <tableColumn id="4" xr3:uid="{E79BEE73-DBCD-49BB-AB55-D8F3DC1C5326}" name="Column3" dataDxfId="5"/>
    <tableColumn id="5" xr3:uid="{DF39D577-FCF7-4589-8767-DC58D0C3F018}" name="Column4" dataDxfId="4"/>
    <tableColumn id="6" xr3:uid="{E56A32E9-BCE0-4539-B736-E76CA029E767}" name="Column5" dataDxfId="3"/>
    <tableColumn id="7" xr3:uid="{F289CE09-C3DE-4C0E-9C29-CE5D88C841BE}" name="Column6" dataDxfId="2"/>
    <tableColumn id="8" xr3:uid="{C891AB2F-1E60-4015-A8FE-45AF1A1CECBF}" name="Column7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"/>
  <sheetViews>
    <sheetView zoomScaleNormal="100" workbookViewId="0">
      <selection activeCell="I7" sqref="I7"/>
    </sheetView>
  </sheetViews>
  <sheetFormatPr defaultColWidth="8.7109375" defaultRowHeight="15" x14ac:dyDescent="0.25"/>
  <cols>
    <col min="1" max="1" width="47.28515625" customWidth="1"/>
    <col min="2" max="3" width="13" customWidth="1"/>
    <col min="4" max="4" width="18" customWidth="1"/>
    <col min="5" max="5" width="13" customWidth="1"/>
    <col min="6" max="7" width="18" customWidth="1"/>
    <col min="8" max="8" width="16" customWidth="1"/>
  </cols>
  <sheetData>
    <row r="1" spans="1:8" ht="30" customHeight="1" x14ac:dyDescent="0.25">
      <c r="A1" s="14" t="s">
        <v>0</v>
      </c>
      <c r="B1" s="14" t="s">
        <v>89</v>
      </c>
      <c r="C1" s="14" t="s">
        <v>90</v>
      </c>
      <c r="D1" s="14" t="s">
        <v>91</v>
      </c>
      <c r="E1" s="14" t="s">
        <v>92</v>
      </c>
      <c r="F1" s="14" t="s">
        <v>93</v>
      </c>
      <c r="G1" s="14" t="s">
        <v>94</v>
      </c>
      <c r="H1" s="14" t="s">
        <v>95</v>
      </c>
    </row>
    <row r="2" spans="1:8" ht="21.75" customHeight="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</row>
    <row r="3" spans="1:8" x14ac:dyDescent="0.25">
      <c r="A3" s="16" t="s">
        <v>9</v>
      </c>
      <c r="B3" s="16" t="s">
        <v>10</v>
      </c>
      <c r="C3" s="17" t="s">
        <v>11</v>
      </c>
      <c r="D3" s="17" t="s">
        <v>12</v>
      </c>
      <c r="E3" s="16">
        <v>213</v>
      </c>
      <c r="F3" s="18">
        <v>199</v>
      </c>
      <c r="G3" s="19">
        <v>42387</v>
      </c>
      <c r="H3" s="19">
        <v>36346</v>
      </c>
    </row>
    <row r="4" spans="1:8" x14ac:dyDescent="0.25">
      <c r="A4" s="20" t="s">
        <v>9</v>
      </c>
      <c r="B4" s="20" t="s">
        <v>10</v>
      </c>
      <c r="C4" s="21" t="s">
        <v>11</v>
      </c>
      <c r="D4" s="21" t="s">
        <v>13</v>
      </c>
      <c r="E4" s="20">
        <v>120</v>
      </c>
      <c r="F4" s="22">
        <v>299</v>
      </c>
      <c r="G4" s="23">
        <v>35880</v>
      </c>
      <c r="H4" s="23">
        <v>32900</v>
      </c>
    </row>
    <row r="5" spans="1:8" x14ac:dyDescent="0.25">
      <c r="A5" s="16" t="s">
        <v>9</v>
      </c>
      <c r="B5" s="16" t="s">
        <v>10</v>
      </c>
      <c r="C5" s="17" t="s">
        <v>11</v>
      </c>
      <c r="D5" s="17" t="s">
        <v>14</v>
      </c>
      <c r="E5" s="16">
        <v>238</v>
      </c>
      <c r="F5" s="18">
        <v>199</v>
      </c>
      <c r="G5" s="19">
        <v>47362</v>
      </c>
      <c r="H5" s="19">
        <v>49872</v>
      </c>
    </row>
    <row r="6" spans="1:8" x14ac:dyDescent="0.25">
      <c r="A6" s="20" t="s">
        <v>9</v>
      </c>
      <c r="B6" s="20" t="s">
        <v>10</v>
      </c>
      <c r="C6" s="21" t="s">
        <v>11</v>
      </c>
      <c r="D6" s="21" t="s">
        <v>15</v>
      </c>
      <c r="E6" s="20">
        <v>278</v>
      </c>
      <c r="F6" s="22">
        <v>999</v>
      </c>
      <c r="G6" s="23">
        <v>277722</v>
      </c>
      <c r="H6" s="23">
        <v>243307</v>
      </c>
    </row>
    <row r="7" spans="1:8" x14ac:dyDescent="0.25">
      <c r="A7" s="16" t="s">
        <v>9</v>
      </c>
      <c r="B7" s="16" t="s">
        <v>10</v>
      </c>
      <c r="C7" s="17" t="s">
        <v>11</v>
      </c>
      <c r="D7" s="17" t="s">
        <v>16</v>
      </c>
      <c r="E7" s="16">
        <v>158</v>
      </c>
      <c r="F7" s="18">
        <v>199</v>
      </c>
      <c r="G7" s="19">
        <v>31442</v>
      </c>
      <c r="H7" s="19">
        <v>27006</v>
      </c>
    </row>
    <row r="8" spans="1:8" x14ac:dyDescent="0.25">
      <c r="A8" s="20" t="s">
        <v>9</v>
      </c>
      <c r="B8" s="20" t="s">
        <v>10</v>
      </c>
      <c r="C8" s="21" t="s">
        <v>17</v>
      </c>
      <c r="D8" s="21" t="s">
        <v>12</v>
      </c>
      <c r="E8" s="20">
        <v>105</v>
      </c>
      <c r="F8" s="22">
        <v>299</v>
      </c>
      <c r="G8" s="23">
        <v>31395</v>
      </c>
      <c r="H8" s="23">
        <v>31445</v>
      </c>
    </row>
    <row r="9" spans="1:8" x14ac:dyDescent="0.25">
      <c r="A9" s="16" t="s">
        <v>9</v>
      </c>
      <c r="B9" s="16" t="s">
        <v>10</v>
      </c>
      <c r="C9" s="17" t="s">
        <v>17</v>
      </c>
      <c r="D9" s="17" t="s">
        <v>13</v>
      </c>
      <c r="E9" s="16">
        <v>56</v>
      </c>
      <c r="F9" s="18">
        <v>999</v>
      </c>
      <c r="G9" s="19">
        <v>55944</v>
      </c>
      <c r="H9" s="19">
        <v>50889</v>
      </c>
    </row>
    <row r="10" spans="1:8" x14ac:dyDescent="0.25">
      <c r="A10" s="20" t="s">
        <v>9</v>
      </c>
      <c r="B10" s="20" t="s">
        <v>10</v>
      </c>
      <c r="C10" s="21" t="s">
        <v>17</v>
      </c>
      <c r="D10" s="21" t="s">
        <v>14</v>
      </c>
      <c r="E10" s="20">
        <v>216</v>
      </c>
      <c r="F10" s="22">
        <v>1499</v>
      </c>
      <c r="G10" s="23">
        <v>323784</v>
      </c>
      <c r="H10" s="23">
        <v>328149</v>
      </c>
    </row>
    <row r="11" spans="1:8" x14ac:dyDescent="0.25">
      <c r="A11" s="16" t="s">
        <v>9</v>
      </c>
      <c r="B11" s="16" t="s">
        <v>10</v>
      </c>
      <c r="C11" s="17" t="s">
        <v>17</v>
      </c>
      <c r="D11" s="17" t="s">
        <v>15</v>
      </c>
      <c r="E11" s="16">
        <v>106</v>
      </c>
      <c r="F11" s="18">
        <v>799</v>
      </c>
      <c r="G11" s="19">
        <v>84694</v>
      </c>
      <c r="H11" s="19">
        <v>86962</v>
      </c>
    </row>
    <row r="12" spans="1:8" x14ac:dyDescent="0.25">
      <c r="A12" s="20" t="s">
        <v>9</v>
      </c>
      <c r="B12" s="20" t="s">
        <v>10</v>
      </c>
      <c r="C12" s="21" t="s">
        <v>17</v>
      </c>
      <c r="D12" s="21" t="s">
        <v>16</v>
      </c>
      <c r="E12" s="20">
        <v>257</v>
      </c>
      <c r="F12" s="22">
        <v>1999</v>
      </c>
      <c r="G12" s="23">
        <v>513743</v>
      </c>
      <c r="H12" s="23">
        <v>437683</v>
      </c>
    </row>
    <row r="13" spans="1:8" x14ac:dyDescent="0.25">
      <c r="A13" s="16" t="s">
        <v>9</v>
      </c>
      <c r="B13" s="16" t="s">
        <v>10</v>
      </c>
      <c r="C13" s="17" t="s">
        <v>18</v>
      </c>
      <c r="D13" s="17" t="s">
        <v>12</v>
      </c>
      <c r="E13" s="16">
        <v>256</v>
      </c>
      <c r="F13" s="18">
        <v>299</v>
      </c>
      <c r="G13" s="19">
        <v>76544</v>
      </c>
      <c r="H13" s="19">
        <v>81093</v>
      </c>
    </row>
    <row r="14" spans="1:8" x14ac:dyDescent="0.25">
      <c r="A14" s="20" t="s">
        <v>9</v>
      </c>
      <c r="B14" s="20" t="s">
        <v>10</v>
      </c>
      <c r="C14" s="21" t="s">
        <v>18</v>
      </c>
      <c r="D14" s="21" t="s">
        <v>13</v>
      </c>
      <c r="E14" s="20">
        <v>137</v>
      </c>
      <c r="F14" s="22">
        <v>499</v>
      </c>
      <c r="G14" s="23">
        <v>68363</v>
      </c>
      <c r="H14" s="23">
        <v>61297</v>
      </c>
    </row>
    <row r="15" spans="1:8" x14ac:dyDescent="0.25">
      <c r="A15" s="16" t="s">
        <v>9</v>
      </c>
      <c r="B15" s="16" t="s">
        <v>10</v>
      </c>
      <c r="C15" s="17" t="s">
        <v>18</v>
      </c>
      <c r="D15" s="17" t="s">
        <v>14</v>
      </c>
      <c r="E15" s="16">
        <v>295</v>
      </c>
      <c r="F15" s="18">
        <v>1999</v>
      </c>
      <c r="G15" s="19">
        <v>589705</v>
      </c>
      <c r="H15" s="19">
        <v>560796</v>
      </c>
    </row>
    <row r="16" spans="1:8" x14ac:dyDescent="0.25">
      <c r="A16" s="20" t="s">
        <v>9</v>
      </c>
      <c r="B16" s="20" t="s">
        <v>10</v>
      </c>
      <c r="C16" s="21" t="s">
        <v>18</v>
      </c>
      <c r="D16" s="21" t="s">
        <v>15</v>
      </c>
      <c r="E16" s="20">
        <v>73</v>
      </c>
      <c r="F16" s="22">
        <v>799</v>
      </c>
      <c r="G16" s="23">
        <v>58327</v>
      </c>
      <c r="H16" s="23">
        <v>51270</v>
      </c>
    </row>
    <row r="17" spans="1:8" x14ac:dyDescent="0.25">
      <c r="A17" s="16" t="s">
        <v>9</v>
      </c>
      <c r="B17" s="16" t="s">
        <v>10</v>
      </c>
      <c r="C17" s="17" t="s">
        <v>18</v>
      </c>
      <c r="D17" s="17" t="s">
        <v>16</v>
      </c>
      <c r="E17" s="16">
        <v>266</v>
      </c>
      <c r="F17" s="18">
        <v>499</v>
      </c>
      <c r="G17" s="19">
        <v>132734</v>
      </c>
      <c r="H17" s="19">
        <v>136864</v>
      </c>
    </row>
    <row r="18" spans="1:8" x14ac:dyDescent="0.25">
      <c r="A18" s="20" t="s">
        <v>9</v>
      </c>
      <c r="B18" s="20" t="s">
        <v>10</v>
      </c>
      <c r="C18" s="21" t="s">
        <v>19</v>
      </c>
      <c r="D18" s="21" t="s">
        <v>12</v>
      </c>
      <c r="E18" s="20">
        <v>256</v>
      </c>
      <c r="F18" s="22">
        <v>199</v>
      </c>
      <c r="G18" s="23">
        <v>50944</v>
      </c>
      <c r="H18" s="23">
        <v>54455</v>
      </c>
    </row>
    <row r="19" spans="1:8" x14ac:dyDescent="0.25">
      <c r="A19" s="16" t="s">
        <v>9</v>
      </c>
      <c r="B19" s="16" t="s">
        <v>10</v>
      </c>
      <c r="C19" s="17" t="s">
        <v>19</v>
      </c>
      <c r="D19" s="17" t="s">
        <v>13</v>
      </c>
      <c r="E19" s="16">
        <v>187</v>
      </c>
      <c r="F19" s="18">
        <v>199</v>
      </c>
      <c r="G19" s="19">
        <v>37213</v>
      </c>
      <c r="H19" s="19">
        <v>42494</v>
      </c>
    </row>
    <row r="20" spans="1:8" x14ac:dyDescent="0.25">
      <c r="A20" s="20" t="s">
        <v>9</v>
      </c>
      <c r="B20" s="20" t="s">
        <v>10</v>
      </c>
      <c r="C20" s="21" t="s">
        <v>19</v>
      </c>
      <c r="D20" s="21" t="s">
        <v>14</v>
      </c>
      <c r="E20" s="20">
        <v>146</v>
      </c>
      <c r="F20" s="22">
        <v>199</v>
      </c>
      <c r="G20" s="23">
        <v>29054</v>
      </c>
      <c r="H20" s="23">
        <v>29507</v>
      </c>
    </row>
    <row r="21" spans="1:8" x14ac:dyDescent="0.25">
      <c r="A21" s="16" t="s">
        <v>9</v>
      </c>
      <c r="B21" s="16" t="s">
        <v>10</v>
      </c>
      <c r="C21" s="17" t="s">
        <v>19</v>
      </c>
      <c r="D21" s="17" t="s">
        <v>15</v>
      </c>
      <c r="E21" s="16">
        <v>262</v>
      </c>
      <c r="F21" s="18">
        <v>1499</v>
      </c>
      <c r="G21" s="19">
        <v>392738</v>
      </c>
      <c r="H21" s="19">
        <v>406702</v>
      </c>
    </row>
    <row r="22" spans="1:8" x14ac:dyDescent="0.25">
      <c r="A22" s="20" t="s">
        <v>9</v>
      </c>
      <c r="B22" s="20" t="s">
        <v>10</v>
      </c>
      <c r="C22" s="21" t="s">
        <v>19</v>
      </c>
      <c r="D22" s="21" t="s">
        <v>16</v>
      </c>
      <c r="E22" s="20">
        <v>270</v>
      </c>
      <c r="F22" s="22">
        <v>499</v>
      </c>
      <c r="G22" s="23">
        <v>134730</v>
      </c>
      <c r="H22" s="23">
        <v>137856</v>
      </c>
    </row>
    <row r="23" spans="1:8" x14ac:dyDescent="0.25">
      <c r="A23" s="16" t="s">
        <v>9</v>
      </c>
      <c r="B23" s="16" t="s">
        <v>10</v>
      </c>
      <c r="C23" s="17" t="s">
        <v>20</v>
      </c>
      <c r="D23" s="17" t="s">
        <v>12</v>
      </c>
      <c r="E23" s="16">
        <v>230</v>
      </c>
      <c r="F23" s="18">
        <v>199</v>
      </c>
      <c r="G23" s="19">
        <v>45770</v>
      </c>
      <c r="H23" s="19">
        <v>39533</v>
      </c>
    </row>
    <row r="24" spans="1:8" x14ac:dyDescent="0.25">
      <c r="A24" s="20" t="s">
        <v>9</v>
      </c>
      <c r="B24" s="20" t="s">
        <v>10</v>
      </c>
      <c r="C24" s="21" t="s">
        <v>20</v>
      </c>
      <c r="D24" s="21" t="s">
        <v>13</v>
      </c>
      <c r="E24" s="20">
        <v>108</v>
      </c>
      <c r="F24" s="22">
        <v>1999</v>
      </c>
      <c r="G24" s="23">
        <v>215892</v>
      </c>
      <c r="H24" s="23">
        <v>202251</v>
      </c>
    </row>
    <row r="25" spans="1:8" x14ac:dyDescent="0.25">
      <c r="A25" s="16" t="s">
        <v>9</v>
      </c>
      <c r="B25" s="16" t="s">
        <v>10</v>
      </c>
      <c r="C25" s="17" t="s">
        <v>20</v>
      </c>
      <c r="D25" s="17" t="s">
        <v>14</v>
      </c>
      <c r="E25" s="16">
        <v>70</v>
      </c>
      <c r="F25" s="18">
        <v>1999</v>
      </c>
      <c r="G25" s="19">
        <v>139930</v>
      </c>
      <c r="H25" s="19">
        <v>128712</v>
      </c>
    </row>
    <row r="26" spans="1:8" x14ac:dyDescent="0.25">
      <c r="A26" s="20" t="s">
        <v>9</v>
      </c>
      <c r="B26" s="20" t="s">
        <v>10</v>
      </c>
      <c r="C26" s="21" t="s">
        <v>20</v>
      </c>
      <c r="D26" s="21" t="s">
        <v>15</v>
      </c>
      <c r="E26" s="20">
        <v>75</v>
      </c>
      <c r="F26" s="22">
        <v>799</v>
      </c>
      <c r="G26" s="23">
        <v>59925</v>
      </c>
      <c r="H26" s="23">
        <v>55933</v>
      </c>
    </row>
    <row r="27" spans="1:8" x14ac:dyDescent="0.25">
      <c r="A27" s="16" t="s">
        <v>9</v>
      </c>
      <c r="B27" s="16" t="s">
        <v>10</v>
      </c>
      <c r="C27" s="17" t="s">
        <v>20</v>
      </c>
      <c r="D27" s="17" t="s">
        <v>16</v>
      </c>
      <c r="E27" s="16">
        <v>212</v>
      </c>
      <c r="F27" s="18">
        <v>1999</v>
      </c>
      <c r="G27" s="19">
        <v>423788</v>
      </c>
      <c r="H27" s="19">
        <v>406603</v>
      </c>
    </row>
    <row r="28" spans="1:8" x14ac:dyDescent="0.25">
      <c r="A28" s="20" t="s">
        <v>21</v>
      </c>
      <c r="B28" s="20" t="s">
        <v>22</v>
      </c>
      <c r="C28" s="21" t="s">
        <v>11</v>
      </c>
      <c r="D28" s="21" t="s">
        <v>12</v>
      </c>
      <c r="E28" s="20">
        <v>144</v>
      </c>
      <c r="F28" s="22">
        <v>499</v>
      </c>
      <c r="G28" s="23">
        <v>71856</v>
      </c>
      <c r="H28" s="23">
        <v>65593</v>
      </c>
    </row>
    <row r="29" spans="1:8" x14ac:dyDescent="0.25">
      <c r="A29" s="16" t="s">
        <v>21</v>
      </c>
      <c r="B29" s="16" t="s">
        <v>22</v>
      </c>
      <c r="C29" s="17" t="s">
        <v>11</v>
      </c>
      <c r="D29" s="17" t="s">
        <v>13</v>
      </c>
      <c r="E29" s="16">
        <v>118</v>
      </c>
      <c r="F29" s="18">
        <v>1499</v>
      </c>
      <c r="G29" s="19">
        <v>176882</v>
      </c>
      <c r="H29" s="19">
        <v>200052</v>
      </c>
    </row>
    <row r="30" spans="1:8" x14ac:dyDescent="0.25">
      <c r="A30" s="20" t="s">
        <v>21</v>
      </c>
      <c r="B30" s="20" t="s">
        <v>22</v>
      </c>
      <c r="C30" s="21" t="s">
        <v>11</v>
      </c>
      <c r="D30" s="21" t="s">
        <v>14</v>
      </c>
      <c r="E30" s="20">
        <v>215</v>
      </c>
      <c r="F30" s="22">
        <v>199</v>
      </c>
      <c r="G30" s="23">
        <v>42785</v>
      </c>
      <c r="H30" s="23">
        <v>44185</v>
      </c>
    </row>
    <row r="31" spans="1:8" x14ac:dyDescent="0.25">
      <c r="A31" s="16" t="s">
        <v>21</v>
      </c>
      <c r="B31" s="16" t="s">
        <v>22</v>
      </c>
      <c r="C31" s="17" t="s">
        <v>11</v>
      </c>
      <c r="D31" s="17" t="s">
        <v>15</v>
      </c>
      <c r="E31" s="16">
        <v>93</v>
      </c>
      <c r="F31" s="18">
        <v>999</v>
      </c>
      <c r="G31" s="19">
        <v>92907</v>
      </c>
      <c r="H31" s="19">
        <v>99293</v>
      </c>
    </row>
    <row r="32" spans="1:8" x14ac:dyDescent="0.25">
      <c r="A32" s="20" t="s">
        <v>21</v>
      </c>
      <c r="B32" s="20" t="s">
        <v>22</v>
      </c>
      <c r="C32" s="21" t="s">
        <v>11</v>
      </c>
      <c r="D32" s="21" t="s">
        <v>16</v>
      </c>
      <c r="E32" s="20">
        <v>91</v>
      </c>
      <c r="F32" s="22">
        <v>799</v>
      </c>
      <c r="G32" s="23">
        <v>72709</v>
      </c>
      <c r="H32" s="23">
        <v>70079</v>
      </c>
    </row>
    <row r="33" spans="1:8" x14ac:dyDescent="0.25">
      <c r="A33" s="16" t="s">
        <v>21</v>
      </c>
      <c r="B33" s="16" t="s">
        <v>22</v>
      </c>
      <c r="C33" s="17" t="s">
        <v>17</v>
      </c>
      <c r="D33" s="17" t="s">
        <v>12</v>
      </c>
      <c r="E33" s="16">
        <v>286</v>
      </c>
      <c r="F33" s="18">
        <v>1499</v>
      </c>
      <c r="G33" s="19">
        <v>428714</v>
      </c>
      <c r="H33" s="19">
        <v>452914</v>
      </c>
    </row>
    <row r="34" spans="1:8" x14ac:dyDescent="0.25">
      <c r="A34" s="20" t="s">
        <v>21</v>
      </c>
      <c r="B34" s="20" t="s">
        <v>22</v>
      </c>
      <c r="C34" s="21" t="s">
        <v>17</v>
      </c>
      <c r="D34" s="21" t="s">
        <v>13</v>
      </c>
      <c r="E34" s="20">
        <v>106</v>
      </c>
      <c r="F34" s="22">
        <v>1499</v>
      </c>
      <c r="G34" s="23">
        <v>158894</v>
      </c>
      <c r="H34" s="23">
        <v>150517</v>
      </c>
    </row>
    <row r="35" spans="1:8" x14ac:dyDescent="0.25">
      <c r="A35" s="16" t="s">
        <v>21</v>
      </c>
      <c r="B35" s="16" t="s">
        <v>22</v>
      </c>
      <c r="C35" s="17" t="s">
        <v>17</v>
      </c>
      <c r="D35" s="17" t="s">
        <v>14</v>
      </c>
      <c r="E35" s="16">
        <v>246</v>
      </c>
      <c r="F35" s="18">
        <v>1999</v>
      </c>
      <c r="G35" s="19">
        <v>491754</v>
      </c>
      <c r="H35" s="19">
        <v>426243</v>
      </c>
    </row>
    <row r="36" spans="1:8" x14ac:dyDescent="0.25">
      <c r="A36" s="20" t="s">
        <v>21</v>
      </c>
      <c r="B36" s="20" t="s">
        <v>22</v>
      </c>
      <c r="C36" s="21" t="s">
        <v>17</v>
      </c>
      <c r="D36" s="21" t="s">
        <v>15</v>
      </c>
      <c r="E36" s="20">
        <v>260</v>
      </c>
      <c r="F36" s="22">
        <v>199</v>
      </c>
      <c r="G36" s="23">
        <v>51740</v>
      </c>
      <c r="H36" s="23">
        <v>56474</v>
      </c>
    </row>
    <row r="37" spans="1:8" x14ac:dyDescent="0.25">
      <c r="A37" s="16" t="s">
        <v>21</v>
      </c>
      <c r="B37" s="16" t="s">
        <v>22</v>
      </c>
      <c r="C37" s="17" t="s">
        <v>17</v>
      </c>
      <c r="D37" s="17" t="s">
        <v>16</v>
      </c>
      <c r="E37" s="16">
        <v>152</v>
      </c>
      <c r="F37" s="18">
        <v>499</v>
      </c>
      <c r="G37" s="19">
        <v>75848</v>
      </c>
      <c r="H37" s="19">
        <v>65976</v>
      </c>
    </row>
    <row r="38" spans="1:8" x14ac:dyDescent="0.25">
      <c r="A38" s="20" t="s">
        <v>21</v>
      </c>
      <c r="B38" s="20" t="s">
        <v>22</v>
      </c>
      <c r="C38" s="21" t="s">
        <v>18</v>
      </c>
      <c r="D38" s="21" t="s">
        <v>12</v>
      </c>
      <c r="E38" s="20">
        <v>283</v>
      </c>
      <c r="F38" s="22">
        <v>999</v>
      </c>
      <c r="G38" s="23">
        <v>282717</v>
      </c>
      <c r="H38" s="23">
        <v>314638</v>
      </c>
    </row>
    <row r="39" spans="1:8" x14ac:dyDescent="0.25">
      <c r="A39" s="16" t="s">
        <v>21</v>
      </c>
      <c r="B39" s="16" t="s">
        <v>22</v>
      </c>
      <c r="C39" s="17" t="s">
        <v>18</v>
      </c>
      <c r="D39" s="17" t="s">
        <v>13</v>
      </c>
      <c r="E39" s="16">
        <v>130</v>
      </c>
      <c r="F39" s="18">
        <v>299</v>
      </c>
      <c r="G39" s="19">
        <v>38870</v>
      </c>
      <c r="H39" s="19">
        <v>40682</v>
      </c>
    </row>
    <row r="40" spans="1:8" x14ac:dyDescent="0.25">
      <c r="A40" s="20" t="s">
        <v>21</v>
      </c>
      <c r="B40" s="20" t="s">
        <v>22</v>
      </c>
      <c r="C40" s="21" t="s">
        <v>18</v>
      </c>
      <c r="D40" s="21" t="s">
        <v>14</v>
      </c>
      <c r="E40" s="20">
        <v>151</v>
      </c>
      <c r="F40" s="22">
        <v>1499</v>
      </c>
      <c r="G40" s="23">
        <v>226349</v>
      </c>
      <c r="H40" s="23">
        <v>223554</v>
      </c>
    </row>
    <row r="41" spans="1:8" x14ac:dyDescent="0.25">
      <c r="A41" s="16" t="s">
        <v>21</v>
      </c>
      <c r="B41" s="16" t="s">
        <v>22</v>
      </c>
      <c r="C41" s="17" t="s">
        <v>18</v>
      </c>
      <c r="D41" s="17" t="s">
        <v>15</v>
      </c>
      <c r="E41" s="16">
        <v>117</v>
      </c>
      <c r="F41" s="18">
        <v>299</v>
      </c>
      <c r="G41" s="19">
        <v>34983</v>
      </c>
      <c r="H41" s="19">
        <v>32323</v>
      </c>
    </row>
    <row r="42" spans="1:8" x14ac:dyDescent="0.25">
      <c r="A42" s="20" t="s">
        <v>21</v>
      </c>
      <c r="B42" s="20" t="s">
        <v>22</v>
      </c>
      <c r="C42" s="21" t="s">
        <v>18</v>
      </c>
      <c r="D42" s="21" t="s">
        <v>16</v>
      </c>
      <c r="E42" s="20">
        <v>193</v>
      </c>
      <c r="F42" s="22">
        <v>999</v>
      </c>
      <c r="G42" s="23">
        <v>192807</v>
      </c>
      <c r="H42" s="23">
        <v>179083</v>
      </c>
    </row>
    <row r="43" spans="1:8" x14ac:dyDescent="0.25">
      <c r="A43" s="16" t="s">
        <v>21</v>
      </c>
      <c r="B43" s="16" t="s">
        <v>22</v>
      </c>
      <c r="C43" s="17" t="s">
        <v>19</v>
      </c>
      <c r="D43" s="17" t="s">
        <v>12</v>
      </c>
      <c r="E43" s="16">
        <v>199</v>
      </c>
      <c r="F43" s="18">
        <v>799</v>
      </c>
      <c r="G43" s="19">
        <v>159001</v>
      </c>
      <c r="H43" s="19">
        <v>177977</v>
      </c>
    </row>
    <row r="44" spans="1:8" x14ac:dyDescent="0.25">
      <c r="A44" s="20" t="s">
        <v>21</v>
      </c>
      <c r="B44" s="20" t="s">
        <v>22</v>
      </c>
      <c r="C44" s="21" t="s">
        <v>19</v>
      </c>
      <c r="D44" s="21" t="s">
        <v>13</v>
      </c>
      <c r="E44" s="20">
        <v>152</v>
      </c>
      <c r="F44" s="22">
        <v>499</v>
      </c>
      <c r="G44" s="23">
        <v>75848</v>
      </c>
      <c r="H44" s="23">
        <v>69461</v>
      </c>
    </row>
    <row r="45" spans="1:8" x14ac:dyDescent="0.25">
      <c r="A45" s="16" t="s">
        <v>21</v>
      </c>
      <c r="B45" s="16" t="s">
        <v>22</v>
      </c>
      <c r="C45" s="17" t="s">
        <v>19</v>
      </c>
      <c r="D45" s="17" t="s">
        <v>14</v>
      </c>
      <c r="E45" s="16">
        <v>85</v>
      </c>
      <c r="F45" s="18">
        <v>999</v>
      </c>
      <c r="G45" s="19">
        <v>84915</v>
      </c>
      <c r="H45" s="19">
        <v>84749</v>
      </c>
    </row>
    <row r="46" spans="1:8" x14ac:dyDescent="0.25">
      <c r="A46" s="20" t="s">
        <v>21</v>
      </c>
      <c r="B46" s="20" t="s">
        <v>22</v>
      </c>
      <c r="C46" s="21" t="s">
        <v>19</v>
      </c>
      <c r="D46" s="21" t="s">
        <v>15</v>
      </c>
      <c r="E46" s="20">
        <v>243</v>
      </c>
      <c r="F46" s="22">
        <v>199</v>
      </c>
      <c r="G46" s="23">
        <v>48357</v>
      </c>
      <c r="H46" s="23">
        <v>53595</v>
      </c>
    </row>
    <row r="47" spans="1:8" x14ac:dyDescent="0.25">
      <c r="A47" s="16" t="s">
        <v>21</v>
      </c>
      <c r="B47" s="16" t="s">
        <v>22</v>
      </c>
      <c r="C47" s="17" t="s">
        <v>19</v>
      </c>
      <c r="D47" s="17" t="s">
        <v>16</v>
      </c>
      <c r="E47" s="16">
        <v>89</v>
      </c>
      <c r="F47" s="18">
        <v>1499</v>
      </c>
      <c r="G47" s="19">
        <v>133411</v>
      </c>
      <c r="H47" s="19">
        <v>119802</v>
      </c>
    </row>
    <row r="48" spans="1:8" x14ac:dyDescent="0.25">
      <c r="A48" s="20" t="s">
        <v>21</v>
      </c>
      <c r="B48" s="20" t="s">
        <v>22</v>
      </c>
      <c r="C48" s="21" t="s">
        <v>20</v>
      </c>
      <c r="D48" s="21" t="s">
        <v>12</v>
      </c>
      <c r="E48" s="20">
        <v>224</v>
      </c>
      <c r="F48" s="22">
        <v>799</v>
      </c>
      <c r="G48" s="23">
        <v>178976</v>
      </c>
      <c r="H48" s="23">
        <v>184152</v>
      </c>
    </row>
    <row r="49" spans="1:8" x14ac:dyDescent="0.25">
      <c r="A49" s="16" t="s">
        <v>21</v>
      </c>
      <c r="B49" s="16" t="s">
        <v>22</v>
      </c>
      <c r="C49" s="17" t="s">
        <v>20</v>
      </c>
      <c r="D49" s="17" t="s">
        <v>13</v>
      </c>
      <c r="E49" s="16">
        <v>148</v>
      </c>
      <c r="F49" s="18">
        <v>799</v>
      </c>
      <c r="G49" s="19">
        <v>118252</v>
      </c>
      <c r="H49" s="19">
        <v>121653</v>
      </c>
    </row>
    <row r="50" spans="1:8" x14ac:dyDescent="0.25">
      <c r="A50" s="20" t="s">
        <v>21</v>
      </c>
      <c r="B50" s="20" t="s">
        <v>22</v>
      </c>
      <c r="C50" s="21" t="s">
        <v>20</v>
      </c>
      <c r="D50" s="21" t="s">
        <v>14</v>
      </c>
      <c r="E50" s="20">
        <v>169</v>
      </c>
      <c r="F50" s="22">
        <v>999</v>
      </c>
      <c r="G50" s="23">
        <v>168831</v>
      </c>
      <c r="H50" s="23">
        <v>156240</v>
      </c>
    </row>
    <row r="51" spans="1:8" x14ac:dyDescent="0.25">
      <c r="A51" s="16" t="s">
        <v>21</v>
      </c>
      <c r="B51" s="16" t="s">
        <v>22</v>
      </c>
      <c r="C51" s="17" t="s">
        <v>20</v>
      </c>
      <c r="D51" s="17" t="s">
        <v>15</v>
      </c>
      <c r="E51" s="16">
        <v>191</v>
      </c>
      <c r="F51" s="18">
        <v>1999</v>
      </c>
      <c r="G51" s="19">
        <v>381809</v>
      </c>
      <c r="H51" s="19">
        <v>432486</v>
      </c>
    </row>
    <row r="52" spans="1:8" x14ac:dyDescent="0.25">
      <c r="A52" s="20" t="s">
        <v>21</v>
      </c>
      <c r="B52" s="20" t="s">
        <v>22</v>
      </c>
      <c r="C52" s="21" t="s">
        <v>20</v>
      </c>
      <c r="D52" s="21" t="s">
        <v>16</v>
      </c>
      <c r="E52" s="20">
        <v>224</v>
      </c>
      <c r="F52" s="22">
        <v>1499</v>
      </c>
      <c r="G52" s="23">
        <v>335776</v>
      </c>
      <c r="H52" s="23">
        <v>296948</v>
      </c>
    </row>
    <row r="53" spans="1:8" x14ac:dyDescent="0.25">
      <c r="A53" s="16" t="s">
        <v>23</v>
      </c>
      <c r="B53" s="16" t="s">
        <v>24</v>
      </c>
      <c r="C53" s="17" t="s">
        <v>11</v>
      </c>
      <c r="D53" s="17" t="s">
        <v>12</v>
      </c>
      <c r="E53" s="16">
        <v>276</v>
      </c>
      <c r="F53" s="18">
        <v>999</v>
      </c>
      <c r="G53" s="19">
        <v>275724</v>
      </c>
      <c r="H53" s="19">
        <v>296475</v>
      </c>
    </row>
    <row r="54" spans="1:8" x14ac:dyDescent="0.25">
      <c r="A54" s="20" t="s">
        <v>23</v>
      </c>
      <c r="B54" s="20" t="s">
        <v>24</v>
      </c>
      <c r="C54" s="21" t="s">
        <v>11</v>
      </c>
      <c r="D54" s="21" t="s">
        <v>13</v>
      </c>
      <c r="E54" s="20">
        <v>246</v>
      </c>
      <c r="F54" s="22">
        <v>1499</v>
      </c>
      <c r="G54" s="23">
        <v>368754</v>
      </c>
      <c r="H54" s="23">
        <v>351073</v>
      </c>
    </row>
    <row r="55" spans="1:8" x14ac:dyDescent="0.25">
      <c r="A55" s="16" t="s">
        <v>23</v>
      </c>
      <c r="B55" s="16" t="s">
        <v>24</v>
      </c>
      <c r="C55" s="17" t="s">
        <v>11</v>
      </c>
      <c r="D55" s="17" t="s">
        <v>14</v>
      </c>
      <c r="E55" s="16">
        <v>125</v>
      </c>
      <c r="F55" s="18">
        <v>799</v>
      </c>
      <c r="G55" s="19">
        <v>99875</v>
      </c>
      <c r="H55" s="19">
        <v>89632</v>
      </c>
    </row>
    <row r="56" spans="1:8" x14ac:dyDescent="0.25">
      <c r="A56" s="20" t="s">
        <v>23</v>
      </c>
      <c r="B56" s="20" t="s">
        <v>24</v>
      </c>
      <c r="C56" s="21" t="s">
        <v>11</v>
      </c>
      <c r="D56" s="21" t="s">
        <v>15</v>
      </c>
      <c r="E56" s="20">
        <v>50</v>
      </c>
      <c r="F56" s="22">
        <v>1499</v>
      </c>
      <c r="G56" s="23">
        <v>74950</v>
      </c>
      <c r="H56" s="23">
        <v>83401</v>
      </c>
    </row>
    <row r="57" spans="1:8" x14ac:dyDescent="0.25">
      <c r="A57" s="16" t="s">
        <v>23</v>
      </c>
      <c r="B57" s="16" t="s">
        <v>24</v>
      </c>
      <c r="C57" s="17" t="s">
        <v>11</v>
      </c>
      <c r="D57" s="17" t="s">
        <v>16</v>
      </c>
      <c r="E57" s="16">
        <v>117</v>
      </c>
      <c r="F57" s="18">
        <v>999</v>
      </c>
      <c r="G57" s="19">
        <v>116883</v>
      </c>
      <c r="H57" s="19">
        <v>126068</v>
      </c>
    </row>
    <row r="58" spans="1:8" x14ac:dyDescent="0.25">
      <c r="A58" s="20" t="s">
        <v>23</v>
      </c>
      <c r="B58" s="20" t="s">
        <v>24</v>
      </c>
      <c r="C58" s="21" t="s">
        <v>17</v>
      </c>
      <c r="D58" s="21" t="s">
        <v>12</v>
      </c>
      <c r="E58" s="20">
        <v>179</v>
      </c>
      <c r="F58" s="22">
        <v>199</v>
      </c>
      <c r="G58" s="23">
        <v>35621</v>
      </c>
      <c r="H58" s="23">
        <v>39580</v>
      </c>
    </row>
    <row r="59" spans="1:8" x14ac:dyDescent="0.25">
      <c r="A59" s="16" t="s">
        <v>23</v>
      </c>
      <c r="B59" s="16" t="s">
        <v>24</v>
      </c>
      <c r="C59" s="17" t="s">
        <v>17</v>
      </c>
      <c r="D59" s="17" t="s">
        <v>13</v>
      </c>
      <c r="E59" s="16">
        <v>126</v>
      </c>
      <c r="F59" s="18">
        <v>1999</v>
      </c>
      <c r="G59" s="19">
        <v>251874</v>
      </c>
      <c r="H59" s="19">
        <v>262373</v>
      </c>
    </row>
    <row r="60" spans="1:8" x14ac:dyDescent="0.25">
      <c r="A60" s="20" t="s">
        <v>23</v>
      </c>
      <c r="B60" s="20" t="s">
        <v>24</v>
      </c>
      <c r="C60" s="21" t="s">
        <v>17</v>
      </c>
      <c r="D60" s="21" t="s">
        <v>14</v>
      </c>
      <c r="E60" s="20">
        <v>205</v>
      </c>
      <c r="F60" s="22">
        <v>299</v>
      </c>
      <c r="G60" s="23">
        <v>61295</v>
      </c>
      <c r="H60" s="23">
        <v>54911</v>
      </c>
    </row>
    <row r="61" spans="1:8" x14ac:dyDescent="0.25">
      <c r="A61" s="16" t="s">
        <v>23</v>
      </c>
      <c r="B61" s="16" t="s">
        <v>24</v>
      </c>
      <c r="C61" s="17" t="s">
        <v>17</v>
      </c>
      <c r="D61" s="17" t="s">
        <v>15</v>
      </c>
      <c r="E61" s="16">
        <v>245</v>
      </c>
      <c r="F61" s="18">
        <v>299</v>
      </c>
      <c r="G61" s="19">
        <v>73255</v>
      </c>
      <c r="H61" s="19">
        <v>74120</v>
      </c>
    </row>
    <row r="62" spans="1:8" x14ac:dyDescent="0.25">
      <c r="A62" s="20" t="s">
        <v>23</v>
      </c>
      <c r="B62" s="20" t="s">
        <v>24</v>
      </c>
      <c r="C62" s="21" t="s">
        <v>17</v>
      </c>
      <c r="D62" s="21" t="s">
        <v>16</v>
      </c>
      <c r="E62" s="20">
        <v>249</v>
      </c>
      <c r="F62" s="22">
        <v>999</v>
      </c>
      <c r="G62" s="23">
        <v>248751</v>
      </c>
      <c r="H62" s="23">
        <v>279981</v>
      </c>
    </row>
    <row r="63" spans="1:8" x14ac:dyDescent="0.25">
      <c r="A63" s="16" t="s">
        <v>23</v>
      </c>
      <c r="B63" s="16" t="s">
        <v>24</v>
      </c>
      <c r="C63" s="17" t="s">
        <v>18</v>
      </c>
      <c r="D63" s="17" t="s">
        <v>12</v>
      </c>
      <c r="E63" s="16">
        <v>203</v>
      </c>
      <c r="F63" s="18">
        <v>499</v>
      </c>
      <c r="G63" s="19">
        <v>101297</v>
      </c>
      <c r="H63" s="19">
        <v>100950</v>
      </c>
    </row>
    <row r="64" spans="1:8" x14ac:dyDescent="0.25">
      <c r="A64" s="20" t="s">
        <v>23</v>
      </c>
      <c r="B64" s="20" t="s">
        <v>24</v>
      </c>
      <c r="C64" s="21" t="s">
        <v>18</v>
      </c>
      <c r="D64" s="21" t="s">
        <v>13</v>
      </c>
      <c r="E64" s="20">
        <v>78</v>
      </c>
      <c r="F64" s="22">
        <v>499</v>
      </c>
      <c r="G64" s="23">
        <v>38922</v>
      </c>
      <c r="H64" s="23">
        <v>43344</v>
      </c>
    </row>
    <row r="65" spans="1:8" x14ac:dyDescent="0.25">
      <c r="A65" s="16" t="s">
        <v>23</v>
      </c>
      <c r="B65" s="16" t="s">
        <v>24</v>
      </c>
      <c r="C65" s="17" t="s">
        <v>18</v>
      </c>
      <c r="D65" s="17" t="s">
        <v>14</v>
      </c>
      <c r="E65" s="16">
        <v>262</v>
      </c>
      <c r="F65" s="18">
        <v>1999</v>
      </c>
      <c r="G65" s="19">
        <v>523738</v>
      </c>
      <c r="H65" s="19">
        <v>493494</v>
      </c>
    </row>
    <row r="66" spans="1:8" x14ac:dyDescent="0.25">
      <c r="A66" s="20" t="s">
        <v>23</v>
      </c>
      <c r="B66" s="20" t="s">
        <v>24</v>
      </c>
      <c r="C66" s="21" t="s">
        <v>18</v>
      </c>
      <c r="D66" s="21" t="s">
        <v>15</v>
      </c>
      <c r="E66" s="20">
        <v>64</v>
      </c>
      <c r="F66" s="22">
        <v>299</v>
      </c>
      <c r="G66" s="23">
        <v>19136</v>
      </c>
      <c r="H66" s="23">
        <v>21306</v>
      </c>
    </row>
    <row r="67" spans="1:8" x14ac:dyDescent="0.25">
      <c r="A67" s="16" t="s">
        <v>23</v>
      </c>
      <c r="B67" s="16" t="s">
        <v>24</v>
      </c>
      <c r="C67" s="17" t="s">
        <v>18</v>
      </c>
      <c r="D67" s="17" t="s">
        <v>16</v>
      </c>
      <c r="E67" s="16">
        <v>292</v>
      </c>
      <c r="F67" s="18">
        <v>199</v>
      </c>
      <c r="G67" s="19">
        <v>58108</v>
      </c>
      <c r="H67" s="19">
        <v>50884</v>
      </c>
    </row>
    <row r="68" spans="1:8" x14ac:dyDescent="0.25">
      <c r="A68" s="20" t="s">
        <v>23</v>
      </c>
      <c r="B68" s="20" t="s">
        <v>24</v>
      </c>
      <c r="C68" s="21" t="s">
        <v>19</v>
      </c>
      <c r="D68" s="21" t="s">
        <v>12</v>
      </c>
      <c r="E68" s="20">
        <v>174</v>
      </c>
      <c r="F68" s="22">
        <v>1999</v>
      </c>
      <c r="G68" s="23">
        <v>347826</v>
      </c>
      <c r="H68" s="23">
        <v>302874</v>
      </c>
    </row>
    <row r="69" spans="1:8" x14ac:dyDescent="0.25">
      <c r="A69" s="16" t="s">
        <v>23</v>
      </c>
      <c r="B69" s="16" t="s">
        <v>24</v>
      </c>
      <c r="C69" s="17" t="s">
        <v>19</v>
      </c>
      <c r="D69" s="17" t="s">
        <v>13</v>
      </c>
      <c r="E69" s="16">
        <v>244</v>
      </c>
      <c r="F69" s="18">
        <v>999</v>
      </c>
      <c r="G69" s="19">
        <v>243756</v>
      </c>
      <c r="H69" s="19">
        <v>263195</v>
      </c>
    </row>
    <row r="70" spans="1:8" x14ac:dyDescent="0.25">
      <c r="A70" s="20" t="s">
        <v>23</v>
      </c>
      <c r="B70" s="20" t="s">
        <v>24</v>
      </c>
      <c r="C70" s="21" t="s">
        <v>19</v>
      </c>
      <c r="D70" s="21" t="s">
        <v>14</v>
      </c>
      <c r="E70" s="20">
        <v>82</v>
      </c>
      <c r="F70" s="22">
        <v>1499</v>
      </c>
      <c r="G70" s="23">
        <v>122918</v>
      </c>
      <c r="H70" s="23">
        <v>122006</v>
      </c>
    </row>
    <row r="71" spans="1:8" x14ac:dyDescent="0.25">
      <c r="A71" s="16" t="s">
        <v>23</v>
      </c>
      <c r="B71" s="16" t="s">
        <v>24</v>
      </c>
      <c r="C71" s="17" t="s">
        <v>19</v>
      </c>
      <c r="D71" s="17" t="s">
        <v>15</v>
      </c>
      <c r="E71" s="16">
        <v>190</v>
      </c>
      <c r="F71" s="18">
        <v>299</v>
      </c>
      <c r="G71" s="19">
        <v>56810</v>
      </c>
      <c r="H71" s="19">
        <v>52805</v>
      </c>
    </row>
    <row r="72" spans="1:8" x14ac:dyDescent="0.25">
      <c r="A72" s="20" t="s">
        <v>23</v>
      </c>
      <c r="B72" s="20" t="s">
        <v>24</v>
      </c>
      <c r="C72" s="21" t="s">
        <v>19</v>
      </c>
      <c r="D72" s="21" t="s">
        <v>16</v>
      </c>
      <c r="E72" s="20">
        <v>273</v>
      </c>
      <c r="F72" s="22">
        <v>999</v>
      </c>
      <c r="G72" s="23">
        <v>272727</v>
      </c>
      <c r="H72" s="23">
        <v>266438</v>
      </c>
    </row>
    <row r="73" spans="1:8" x14ac:dyDescent="0.25">
      <c r="A73" s="16" t="s">
        <v>23</v>
      </c>
      <c r="B73" s="16" t="s">
        <v>24</v>
      </c>
      <c r="C73" s="17" t="s">
        <v>20</v>
      </c>
      <c r="D73" s="17" t="s">
        <v>12</v>
      </c>
      <c r="E73" s="16">
        <v>104</v>
      </c>
      <c r="F73" s="18">
        <v>999</v>
      </c>
      <c r="G73" s="19">
        <v>103896</v>
      </c>
      <c r="H73" s="19">
        <v>111852</v>
      </c>
    </row>
    <row r="74" spans="1:8" x14ac:dyDescent="0.25">
      <c r="A74" s="20" t="s">
        <v>23</v>
      </c>
      <c r="B74" s="20" t="s">
        <v>24</v>
      </c>
      <c r="C74" s="21" t="s">
        <v>20</v>
      </c>
      <c r="D74" s="21" t="s">
        <v>13</v>
      </c>
      <c r="E74" s="20">
        <v>226</v>
      </c>
      <c r="F74" s="22">
        <v>299</v>
      </c>
      <c r="G74" s="23">
        <v>67574</v>
      </c>
      <c r="H74" s="23">
        <v>71890</v>
      </c>
    </row>
    <row r="75" spans="1:8" x14ac:dyDescent="0.25">
      <c r="A75" s="16" t="s">
        <v>23</v>
      </c>
      <c r="B75" s="16" t="s">
        <v>24</v>
      </c>
      <c r="C75" s="17" t="s">
        <v>20</v>
      </c>
      <c r="D75" s="17" t="s">
        <v>14</v>
      </c>
      <c r="E75" s="16">
        <v>152</v>
      </c>
      <c r="F75" s="18">
        <v>1499</v>
      </c>
      <c r="G75" s="19">
        <v>227848</v>
      </c>
      <c r="H75" s="19">
        <v>238092</v>
      </c>
    </row>
    <row r="76" spans="1:8" x14ac:dyDescent="0.25">
      <c r="A76" s="20" t="s">
        <v>23</v>
      </c>
      <c r="B76" s="20" t="s">
        <v>24</v>
      </c>
      <c r="C76" s="21" t="s">
        <v>20</v>
      </c>
      <c r="D76" s="21" t="s">
        <v>15</v>
      </c>
      <c r="E76" s="20">
        <v>162</v>
      </c>
      <c r="F76" s="22">
        <v>999</v>
      </c>
      <c r="G76" s="23">
        <v>161838</v>
      </c>
      <c r="H76" s="23">
        <v>159482</v>
      </c>
    </row>
    <row r="77" spans="1:8" x14ac:dyDescent="0.25">
      <c r="A77" s="16" t="s">
        <v>23</v>
      </c>
      <c r="B77" s="16" t="s">
        <v>24</v>
      </c>
      <c r="C77" s="17" t="s">
        <v>20</v>
      </c>
      <c r="D77" s="17" t="s">
        <v>16</v>
      </c>
      <c r="E77" s="16">
        <v>113</v>
      </c>
      <c r="F77" s="18">
        <v>299</v>
      </c>
      <c r="G77" s="19">
        <v>33787</v>
      </c>
      <c r="H77" s="19">
        <v>29367</v>
      </c>
    </row>
    <row r="78" spans="1:8" x14ac:dyDescent="0.25">
      <c r="A78" s="20" t="s">
        <v>25</v>
      </c>
      <c r="B78" s="20" t="s">
        <v>26</v>
      </c>
      <c r="C78" s="21" t="s">
        <v>11</v>
      </c>
      <c r="D78" s="21" t="s">
        <v>12</v>
      </c>
      <c r="E78" s="20">
        <v>55</v>
      </c>
      <c r="F78" s="22">
        <v>999</v>
      </c>
      <c r="G78" s="23">
        <v>54945</v>
      </c>
      <c r="H78" s="23">
        <v>55833</v>
      </c>
    </row>
    <row r="79" spans="1:8" x14ac:dyDescent="0.25">
      <c r="A79" s="16" t="s">
        <v>25</v>
      </c>
      <c r="B79" s="16" t="s">
        <v>26</v>
      </c>
      <c r="C79" s="17" t="s">
        <v>11</v>
      </c>
      <c r="D79" s="17" t="s">
        <v>13</v>
      </c>
      <c r="E79" s="16">
        <v>200</v>
      </c>
      <c r="F79" s="18">
        <v>299</v>
      </c>
      <c r="G79" s="19">
        <v>59800</v>
      </c>
      <c r="H79" s="19">
        <v>50959</v>
      </c>
    </row>
    <row r="80" spans="1:8" x14ac:dyDescent="0.25">
      <c r="A80" s="20" t="s">
        <v>25</v>
      </c>
      <c r="B80" s="20" t="s">
        <v>26</v>
      </c>
      <c r="C80" s="21" t="s">
        <v>11</v>
      </c>
      <c r="D80" s="21" t="s">
        <v>14</v>
      </c>
      <c r="E80" s="20">
        <v>231</v>
      </c>
      <c r="F80" s="22">
        <v>1499</v>
      </c>
      <c r="G80" s="23">
        <v>346269</v>
      </c>
      <c r="H80" s="23">
        <v>300444</v>
      </c>
    </row>
    <row r="81" spans="1:8" x14ac:dyDescent="0.25">
      <c r="A81" s="16" t="s">
        <v>25</v>
      </c>
      <c r="B81" s="16" t="s">
        <v>26</v>
      </c>
      <c r="C81" s="17" t="s">
        <v>11</v>
      </c>
      <c r="D81" s="17" t="s">
        <v>15</v>
      </c>
      <c r="E81" s="16">
        <v>67</v>
      </c>
      <c r="F81" s="18">
        <v>199</v>
      </c>
      <c r="G81" s="19">
        <v>13333</v>
      </c>
      <c r="H81" s="19">
        <v>14771</v>
      </c>
    </row>
    <row r="82" spans="1:8" x14ac:dyDescent="0.25">
      <c r="A82" s="20" t="s">
        <v>25</v>
      </c>
      <c r="B82" s="20" t="s">
        <v>26</v>
      </c>
      <c r="C82" s="21" t="s">
        <v>11</v>
      </c>
      <c r="D82" s="21" t="s">
        <v>16</v>
      </c>
      <c r="E82" s="20">
        <v>68</v>
      </c>
      <c r="F82" s="22">
        <v>999</v>
      </c>
      <c r="G82" s="23">
        <v>67932</v>
      </c>
      <c r="H82" s="23">
        <v>62592</v>
      </c>
    </row>
    <row r="83" spans="1:8" x14ac:dyDescent="0.25">
      <c r="A83" s="16" t="s">
        <v>25</v>
      </c>
      <c r="B83" s="16" t="s">
        <v>26</v>
      </c>
      <c r="C83" s="17" t="s">
        <v>17</v>
      </c>
      <c r="D83" s="17" t="s">
        <v>12</v>
      </c>
      <c r="E83" s="16">
        <v>221</v>
      </c>
      <c r="F83" s="18">
        <v>799</v>
      </c>
      <c r="G83" s="19">
        <v>176579</v>
      </c>
      <c r="H83" s="19">
        <v>161441</v>
      </c>
    </row>
    <row r="84" spans="1:8" x14ac:dyDescent="0.25">
      <c r="A84" s="20" t="s">
        <v>25</v>
      </c>
      <c r="B84" s="20" t="s">
        <v>26</v>
      </c>
      <c r="C84" s="21" t="s">
        <v>17</v>
      </c>
      <c r="D84" s="21" t="s">
        <v>13</v>
      </c>
      <c r="E84" s="20">
        <v>83</v>
      </c>
      <c r="F84" s="22">
        <v>1499</v>
      </c>
      <c r="G84" s="23">
        <v>124417</v>
      </c>
      <c r="H84" s="23">
        <v>140672</v>
      </c>
    </row>
    <row r="85" spans="1:8" x14ac:dyDescent="0.25">
      <c r="A85" s="16" t="s">
        <v>25</v>
      </c>
      <c r="B85" s="16" t="s">
        <v>26</v>
      </c>
      <c r="C85" s="17" t="s">
        <v>17</v>
      </c>
      <c r="D85" s="17" t="s">
        <v>14</v>
      </c>
      <c r="E85" s="16">
        <v>196</v>
      </c>
      <c r="F85" s="18">
        <v>999</v>
      </c>
      <c r="G85" s="19">
        <v>195804</v>
      </c>
      <c r="H85" s="19">
        <v>194198</v>
      </c>
    </row>
    <row r="86" spans="1:8" x14ac:dyDescent="0.25">
      <c r="A86" s="20" t="s">
        <v>25</v>
      </c>
      <c r="B86" s="20" t="s">
        <v>26</v>
      </c>
      <c r="C86" s="21" t="s">
        <v>17</v>
      </c>
      <c r="D86" s="21" t="s">
        <v>15</v>
      </c>
      <c r="E86" s="20">
        <v>250</v>
      </c>
      <c r="F86" s="22">
        <v>799</v>
      </c>
      <c r="G86" s="23">
        <v>199750</v>
      </c>
      <c r="H86" s="23">
        <v>218176</v>
      </c>
    </row>
    <row r="87" spans="1:8" x14ac:dyDescent="0.25">
      <c r="A87" s="16" t="s">
        <v>25</v>
      </c>
      <c r="B87" s="16" t="s">
        <v>26</v>
      </c>
      <c r="C87" s="17" t="s">
        <v>17</v>
      </c>
      <c r="D87" s="17" t="s">
        <v>16</v>
      </c>
      <c r="E87" s="16">
        <v>98</v>
      </c>
      <c r="F87" s="18">
        <v>199</v>
      </c>
      <c r="G87" s="19">
        <v>19502</v>
      </c>
      <c r="H87" s="19">
        <v>17143</v>
      </c>
    </row>
    <row r="88" spans="1:8" x14ac:dyDescent="0.25">
      <c r="A88" s="20" t="s">
        <v>25</v>
      </c>
      <c r="B88" s="20" t="s">
        <v>26</v>
      </c>
      <c r="C88" s="21" t="s">
        <v>18</v>
      </c>
      <c r="D88" s="21" t="s">
        <v>12</v>
      </c>
      <c r="E88" s="20">
        <v>160</v>
      </c>
      <c r="F88" s="22">
        <v>499</v>
      </c>
      <c r="G88" s="23">
        <v>79840</v>
      </c>
      <c r="H88" s="23">
        <v>78009</v>
      </c>
    </row>
    <row r="89" spans="1:8" x14ac:dyDescent="0.25">
      <c r="A89" s="16" t="s">
        <v>25</v>
      </c>
      <c r="B89" s="16" t="s">
        <v>26</v>
      </c>
      <c r="C89" s="17" t="s">
        <v>18</v>
      </c>
      <c r="D89" s="17" t="s">
        <v>13</v>
      </c>
      <c r="E89" s="16">
        <v>169</v>
      </c>
      <c r="F89" s="18">
        <v>1999</v>
      </c>
      <c r="G89" s="19">
        <v>337831</v>
      </c>
      <c r="H89" s="19">
        <v>361047</v>
      </c>
    </row>
    <row r="90" spans="1:8" x14ac:dyDescent="0.25">
      <c r="A90" s="20" t="s">
        <v>25</v>
      </c>
      <c r="B90" s="20" t="s">
        <v>26</v>
      </c>
      <c r="C90" s="21" t="s">
        <v>18</v>
      </c>
      <c r="D90" s="21" t="s">
        <v>14</v>
      </c>
      <c r="E90" s="20">
        <v>222</v>
      </c>
      <c r="F90" s="22">
        <v>1499</v>
      </c>
      <c r="G90" s="23">
        <v>332778</v>
      </c>
      <c r="H90" s="23">
        <v>381113</v>
      </c>
    </row>
    <row r="91" spans="1:8" x14ac:dyDescent="0.25">
      <c r="A91" s="16" t="s">
        <v>25</v>
      </c>
      <c r="B91" s="16" t="s">
        <v>26</v>
      </c>
      <c r="C91" s="17" t="s">
        <v>18</v>
      </c>
      <c r="D91" s="17" t="s">
        <v>15</v>
      </c>
      <c r="E91" s="16">
        <v>75</v>
      </c>
      <c r="F91" s="18">
        <v>199</v>
      </c>
      <c r="G91" s="19">
        <v>14925</v>
      </c>
      <c r="H91" s="19">
        <v>14488</v>
      </c>
    </row>
    <row r="92" spans="1:8" x14ac:dyDescent="0.25">
      <c r="A92" s="20" t="s">
        <v>25</v>
      </c>
      <c r="B92" s="20" t="s">
        <v>26</v>
      </c>
      <c r="C92" s="21" t="s">
        <v>18</v>
      </c>
      <c r="D92" s="21" t="s">
        <v>16</v>
      </c>
      <c r="E92" s="20">
        <v>136</v>
      </c>
      <c r="F92" s="22">
        <v>1999</v>
      </c>
      <c r="G92" s="23">
        <v>271864</v>
      </c>
      <c r="H92" s="23">
        <v>301361</v>
      </c>
    </row>
    <row r="93" spans="1:8" x14ac:dyDescent="0.25">
      <c r="A93" s="16" t="s">
        <v>25</v>
      </c>
      <c r="B93" s="16" t="s">
        <v>26</v>
      </c>
      <c r="C93" s="17" t="s">
        <v>19</v>
      </c>
      <c r="D93" s="17" t="s">
        <v>12</v>
      </c>
      <c r="E93" s="16">
        <v>113</v>
      </c>
      <c r="F93" s="18">
        <v>299</v>
      </c>
      <c r="G93" s="19">
        <v>33787</v>
      </c>
      <c r="H93" s="19">
        <v>30646</v>
      </c>
    </row>
    <row r="94" spans="1:8" x14ac:dyDescent="0.25">
      <c r="A94" s="20" t="s">
        <v>25</v>
      </c>
      <c r="B94" s="20" t="s">
        <v>26</v>
      </c>
      <c r="C94" s="21" t="s">
        <v>19</v>
      </c>
      <c r="D94" s="21" t="s">
        <v>13</v>
      </c>
      <c r="E94" s="20">
        <v>164</v>
      </c>
      <c r="F94" s="22">
        <v>299</v>
      </c>
      <c r="G94" s="23">
        <v>49036</v>
      </c>
      <c r="H94" s="23">
        <v>47886</v>
      </c>
    </row>
    <row r="95" spans="1:8" x14ac:dyDescent="0.25">
      <c r="A95" s="16" t="s">
        <v>25</v>
      </c>
      <c r="B95" s="16" t="s">
        <v>26</v>
      </c>
      <c r="C95" s="17" t="s">
        <v>19</v>
      </c>
      <c r="D95" s="17" t="s">
        <v>14</v>
      </c>
      <c r="E95" s="16">
        <v>121</v>
      </c>
      <c r="F95" s="18">
        <v>799</v>
      </c>
      <c r="G95" s="19">
        <v>96679</v>
      </c>
      <c r="H95" s="19">
        <v>89422</v>
      </c>
    </row>
    <row r="96" spans="1:8" x14ac:dyDescent="0.25">
      <c r="A96" s="20" t="s">
        <v>25</v>
      </c>
      <c r="B96" s="20" t="s">
        <v>26</v>
      </c>
      <c r="C96" s="21" t="s">
        <v>19</v>
      </c>
      <c r="D96" s="21" t="s">
        <v>15</v>
      </c>
      <c r="E96" s="20">
        <v>286</v>
      </c>
      <c r="F96" s="22">
        <v>199</v>
      </c>
      <c r="G96" s="23">
        <v>56914</v>
      </c>
      <c r="H96" s="23">
        <v>55943</v>
      </c>
    </row>
    <row r="97" spans="1:8" x14ac:dyDescent="0.25">
      <c r="A97" s="16" t="s">
        <v>25</v>
      </c>
      <c r="B97" s="16" t="s">
        <v>26</v>
      </c>
      <c r="C97" s="17" t="s">
        <v>19</v>
      </c>
      <c r="D97" s="17" t="s">
        <v>16</v>
      </c>
      <c r="E97" s="16">
        <v>270</v>
      </c>
      <c r="F97" s="18">
        <v>1999</v>
      </c>
      <c r="G97" s="19">
        <v>539730</v>
      </c>
      <c r="H97" s="19">
        <v>547878</v>
      </c>
    </row>
    <row r="98" spans="1:8" x14ac:dyDescent="0.25">
      <c r="A98" s="20" t="s">
        <v>25</v>
      </c>
      <c r="B98" s="20" t="s">
        <v>26</v>
      </c>
      <c r="C98" s="21" t="s">
        <v>20</v>
      </c>
      <c r="D98" s="21" t="s">
        <v>12</v>
      </c>
      <c r="E98" s="20">
        <v>62</v>
      </c>
      <c r="F98" s="22">
        <v>1499</v>
      </c>
      <c r="G98" s="23">
        <v>92938</v>
      </c>
      <c r="H98" s="23">
        <v>106858</v>
      </c>
    </row>
    <row r="99" spans="1:8" x14ac:dyDescent="0.25">
      <c r="A99" s="16" t="s">
        <v>25</v>
      </c>
      <c r="B99" s="16" t="s">
        <v>26</v>
      </c>
      <c r="C99" s="17" t="s">
        <v>20</v>
      </c>
      <c r="D99" s="17" t="s">
        <v>13</v>
      </c>
      <c r="E99" s="16">
        <v>264</v>
      </c>
      <c r="F99" s="18">
        <v>199</v>
      </c>
      <c r="G99" s="19">
        <v>52536</v>
      </c>
      <c r="H99" s="19">
        <v>59927</v>
      </c>
    </row>
    <row r="100" spans="1:8" x14ac:dyDescent="0.25">
      <c r="A100" s="20" t="s">
        <v>25</v>
      </c>
      <c r="B100" s="20" t="s">
        <v>26</v>
      </c>
      <c r="C100" s="21" t="s">
        <v>20</v>
      </c>
      <c r="D100" s="21" t="s">
        <v>14</v>
      </c>
      <c r="E100" s="20">
        <v>287</v>
      </c>
      <c r="F100" s="22">
        <v>1999</v>
      </c>
      <c r="G100" s="23">
        <v>573713</v>
      </c>
      <c r="H100" s="23">
        <v>633728</v>
      </c>
    </row>
    <row r="101" spans="1:8" x14ac:dyDescent="0.25">
      <c r="A101" s="16" t="s">
        <v>25</v>
      </c>
      <c r="B101" s="16" t="s">
        <v>26</v>
      </c>
      <c r="C101" s="17" t="s">
        <v>20</v>
      </c>
      <c r="D101" s="17" t="s">
        <v>15</v>
      </c>
      <c r="E101" s="16">
        <v>92</v>
      </c>
      <c r="F101" s="18">
        <v>799</v>
      </c>
      <c r="G101" s="19">
        <v>73508</v>
      </c>
      <c r="H101" s="19">
        <v>73191</v>
      </c>
    </row>
    <row r="102" spans="1:8" x14ac:dyDescent="0.25">
      <c r="A102" s="20" t="s">
        <v>25</v>
      </c>
      <c r="B102" s="20" t="s">
        <v>26</v>
      </c>
      <c r="C102" s="21" t="s">
        <v>20</v>
      </c>
      <c r="D102" s="21" t="s">
        <v>16</v>
      </c>
      <c r="E102" s="20">
        <v>104</v>
      </c>
      <c r="F102" s="22">
        <v>1999</v>
      </c>
      <c r="G102" s="23">
        <v>207896</v>
      </c>
      <c r="H102" s="23">
        <v>201724</v>
      </c>
    </row>
    <row r="103" spans="1:8" x14ac:dyDescent="0.25">
      <c r="A103" s="16" t="s">
        <v>27</v>
      </c>
      <c r="B103" s="16" t="s">
        <v>28</v>
      </c>
      <c r="C103" s="17" t="s">
        <v>11</v>
      </c>
      <c r="D103" s="17" t="s">
        <v>12</v>
      </c>
      <c r="E103" s="16">
        <v>65</v>
      </c>
      <c r="F103" s="18">
        <v>299</v>
      </c>
      <c r="G103" s="19">
        <v>19435</v>
      </c>
      <c r="H103" s="19">
        <v>18729</v>
      </c>
    </row>
    <row r="104" spans="1:8" x14ac:dyDescent="0.25">
      <c r="A104" s="20" t="s">
        <v>27</v>
      </c>
      <c r="B104" s="20" t="s">
        <v>28</v>
      </c>
      <c r="C104" s="21" t="s">
        <v>11</v>
      </c>
      <c r="D104" s="21" t="s">
        <v>13</v>
      </c>
      <c r="E104" s="20">
        <v>149</v>
      </c>
      <c r="F104" s="22">
        <v>499</v>
      </c>
      <c r="G104" s="23">
        <v>74351</v>
      </c>
      <c r="H104" s="23">
        <v>83864</v>
      </c>
    </row>
    <row r="105" spans="1:8" x14ac:dyDescent="0.25">
      <c r="A105" s="16" t="s">
        <v>27</v>
      </c>
      <c r="B105" s="16" t="s">
        <v>28</v>
      </c>
      <c r="C105" s="17" t="s">
        <v>11</v>
      </c>
      <c r="D105" s="17" t="s">
        <v>14</v>
      </c>
      <c r="E105" s="16">
        <v>250</v>
      </c>
      <c r="F105" s="18">
        <v>799</v>
      </c>
      <c r="G105" s="19">
        <v>199750</v>
      </c>
      <c r="H105" s="19">
        <v>186881</v>
      </c>
    </row>
    <row r="106" spans="1:8" x14ac:dyDescent="0.25">
      <c r="A106" s="20" t="s">
        <v>27</v>
      </c>
      <c r="B106" s="20" t="s">
        <v>28</v>
      </c>
      <c r="C106" s="21" t="s">
        <v>11</v>
      </c>
      <c r="D106" s="21" t="s">
        <v>15</v>
      </c>
      <c r="E106" s="20">
        <v>228</v>
      </c>
      <c r="F106" s="22">
        <v>1499</v>
      </c>
      <c r="G106" s="23">
        <v>341772</v>
      </c>
      <c r="H106" s="23">
        <v>392568</v>
      </c>
    </row>
    <row r="107" spans="1:8" x14ac:dyDescent="0.25">
      <c r="A107" s="16" t="s">
        <v>27</v>
      </c>
      <c r="B107" s="16" t="s">
        <v>28</v>
      </c>
      <c r="C107" s="17" t="s">
        <v>11</v>
      </c>
      <c r="D107" s="17" t="s">
        <v>16</v>
      </c>
      <c r="E107" s="16">
        <v>192</v>
      </c>
      <c r="F107" s="18">
        <v>1499</v>
      </c>
      <c r="G107" s="19">
        <v>287808</v>
      </c>
      <c r="H107" s="19">
        <v>306665</v>
      </c>
    </row>
    <row r="108" spans="1:8" x14ac:dyDescent="0.25">
      <c r="A108" s="20" t="s">
        <v>27</v>
      </c>
      <c r="B108" s="20" t="s">
        <v>28</v>
      </c>
      <c r="C108" s="21" t="s">
        <v>17</v>
      </c>
      <c r="D108" s="21" t="s">
        <v>12</v>
      </c>
      <c r="E108" s="20">
        <v>89</v>
      </c>
      <c r="F108" s="22">
        <v>299</v>
      </c>
      <c r="G108" s="23">
        <v>26611</v>
      </c>
      <c r="H108" s="23">
        <v>24988</v>
      </c>
    </row>
    <row r="109" spans="1:8" x14ac:dyDescent="0.25">
      <c r="A109" s="16" t="s">
        <v>27</v>
      </c>
      <c r="B109" s="16" t="s">
        <v>28</v>
      </c>
      <c r="C109" s="17" t="s">
        <v>17</v>
      </c>
      <c r="D109" s="17" t="s">
        <v>13</v>
      </c>
      <c r="E109" s="16">
        <v>297</v>
      </c>
      <c r="F109" s="18">
        <v>199</v>
      </c>
      <c r="G109" s="19">
        <v>59103</v>
      </c>
      <c r="H109" s="19">
        <v>60506</v>
      </c>
    </row>
    <row r="110" spans="1:8" x14ac:dyDescent="0.25">
      <c r="A110" s="20" t="s">
        <v>27</v>
      </c>
      <c r="B110" s="20" t="s">
        <v>28</v>
      </c>
      <c r="C110" s="21" t="s">
        <v>17</v>
      </c>
      <c r="D110" s="21" t="s">
        <v>14</v>
      </c>
      <c r="E110" s="20">
        <v>188</v>
      </c>
      <c r="F110" s="22">
        <v>199</v>
      </c>
      <c r="G110" s="23">
        <v>37412</v>
      </c>
      <c r="H110" s="23">
        <v>40195</v>
      </c>
    </row>
    <row r="111" spans="1:8" x14ac:dyDescent="0.25">
      <c r="A111" s="16" t="s">
        <v>27</v>
      </c>
      <c r="B111" s="16" t="s">
        <v>28</v>
      </c>
      <c r="C111" s="17" t="s">
        <v>17</v>
      </c>
      <c r="D111" s="17" t="s">
        <v>15</v>
      </c>
      <c r="E111" s="16">
        <v>64</v>
      </c>
      <c r="F111" s="18">
        <v>199</v>
      </c>
      <c r="G111" s="19">
        <v>12736</v>
      </c>
      <c r="H111" s="19">
        <v>13057</v>
      </c>
    </row>
    <row r="112" spans="1:8" x14ac:dyDescent="0.25">
      <c r="A112" s="20" t="s">
        <v>27</v>
      </c>
      <c r="B112" s="20" t="s">
        <v>28</v>
      </c>
      <c r="C112" s="21" t="s">
        <v>17</v>
      </c>
      <c r="D112" s="21" t="s">
        <v>16</v>
      </c>
      <c r="E112" s="20">
        <v>178</v>
      </c>
      <c r="F112" s="22">
        <v>1999</v>
      </c>
      <c r="G112" s="23">
        <v>355822</v>
      </c>
      <c r="H112" s="23">
        <v>359144</v>
      </c>
    </row>
    <row r="113" spans="1:8" x14ac:dyDescent="0.25">
      <c r="A113" s="16" t="s">
        <v>27</v>
      </c>
      <c r="B113" s="16" t="s">
        <v>28</v>
      </c>
      <c r="C113" s="17" t="s">
        <v>18</v>
      </c>
      <c r="D113" s="17" t="s">
        <v>12</v>
      </c>
      <c r="E113" s="16">
        <v>64</v>
      </c>
      <c r="F113" s="18">
        <v>999</v>
      </c>
      <c r="G113" s="19">
        <v>63936</v>
      </c>
      <c r="H113" s="19">
        <v>55882</v>
      </c>
    </row>
    <row r="114" spans="1:8" x14ac:dyDescent="0.25">
      <c r="A114" s="20" t="s">
        <v>27</v>
      </c>
      <c r="B114" s="20" t="s">
        <v>28</v>
      </c>
      <c r="C114" s="21" t="s">
        <v>18</v>
      </c>
      <c r="D114" s="21" t="s">
        <v>13</v>
      </c>
      <c r="E114" s="20">
        <v>97</v>
      </c>
      <c r="F114" s="22">
        <v>199</v>
      </c>
      <c r="G114" s="23">
        <v>19303</v>
      </c>
      <c r="H114" s="23">
        <v>19853</v>
      </c>
    </row>
    <row r="115" spans="1:8" x14ac:dyDescent="0.25">
      <c r="A115" s="16" t="s">
        <v>27</v>
      </c>
      <c r="B115" s="16" t="s">
        <v>28</v>
      </c>
      <c r="C115" s="17" t="s">
        <v>18</v>
      </c>
      <c r="D115" s="17" t="s">
        <v>14</v>
      </c>
      <c r="E115" s="16">
        <v>222</v>
      </c>
      <c r="F115" s="18">
        <v>1999</v>
      </c>
      <c r="G115" s="19">
        <v>443778</v>
      </c>
      <c r="H115" s="19">
        <v>408524</v>
      </c>
    </row>
    <row r="116" spans="1:8" x14ac:dyDescent="0.25">
      <c r="A116" s="20" t="s">
        <v>27</v>
      </c>
      <c r="B116" s="20" t="s">
        <v>28</v>
      </c>
      <c r="C116" s="21" t="s">
        <v>18</v>
      </c>
      <c r="D116" s="21" t="s">
        <v>15</v>
      </c>
      <c r="E116" s="20">
        <v>80</v>
      </c>
      <c r="F116" s="22">
        <v>999</v>
      </c>
      <c r="G116" s="23">
        <v>79920</v>
      </c>
      <c r="H116" s="23">
        <v>73835</v>
      </c>
    </row>
    <row r="117" spans="1:8" x14ac:dyDescent="0.25">
      <c r="A117" s="16" t="s">
        <v>27</v>
      </c>
      <c r="B117" s="16" t="s">
        <v>28</v>
      </c>
      <c r="C117" s="17" t="s">
        <v>18</v>
      </c>
      <c r="D117" s="17" t="s">
        <v>16</v>
      </c>
      <c r="E117" s="16">
        <v>202</v>
      </c>
      <c r="F117" s="18">
        <v>199</v>
      </c>
      <c r="G117" s="19">
        <v>40198</v>
      </c>
      <c r="H117" s="19">
        <v>41637</v>
      </c>
    </row>
    <row r="118" spans="1:8" x14ac:dyDescent="0.25">
      <c r="A118" s="20" t="s">
        <v>27</v>
      </c>
      <c r="B118" s="20" t="s">
        <v>28</v>
      </c>
      <c r="C118" s="21" t="s">
        <v>19</v>
      </c>
      <c r="D118" s="21" t="s">
        <v>12</v>
      </c>
      <c r="E118" s="20">
        <v>157</v>
      </c>
      <c r="F118" s="22">
        <v>1499</v>
      </c>
      <c r="G118" s="23">
        <v>235343</v>
      </c>
      <c r="H118" s="23">
        <v>241250</v>
      </c>
    </row>
    <row r="119" spans="1:8" x14ac:dyDescent="0.25">
      <c r="A119" s="16" t="s">
        <v>27</v>
      </c>
      <c r="B119" s="16" t="s">
        <v>28</v>
      </c>
      <c r="C119" s="17" t="s">
        <v>19</v>
      </c>
      <c r="D119" s="17" t="s">
        <v>13</v>
      </c>
      <c r="E119" s="16">
        <v>183</v>
      </c>
      <c r="F119" s="18">
        <v>499</v>
      </c>
      <c r="G119" s="19">
        <v>91317</v>
      </c>
      <c r="H119" s="19">
        <v>103225</v>
      </c>
    </row>
    <row r="120" spans="1:8" x14ac:dyDescent="0.25">
      <c r="A120" s="20" t="s">
        <v>27</v>
      </c>
      <c r="B120" s="20" t="s">
        <v>28</v>
      </c>
      <c r="C120" s="21" t="s">
        <v>19</v>
      </c>
      <c r="D120" s="21" t="s">
        <v>14</v>
      </c>
      <c r="E120" s="20">
        <v>102</v>
      </c>
      <c r="F120" s="22">
        <v>1499</v>
      </c>
      <c r="G120" s="23">
        <v>152898</v>
      </c>
      <c r="H120" s="23">
        <v>162814</v>
      </c>
    </row>
    <row r="121" spans="1:8" x14ac:dyDescent="0.25">
      <c r="A121" s="16" t="s">
        <v>27</v>
      </c>
      <c r="B121" s="16" t="s">
        <v>28</v>
      </c>
      <c r="C121" s="17" t="s">
        <v>19</v>
      </c>
      <c r="D121" s="17" t="s">
        <v>15</v>
      </c>
      <c r="E121" s="16">
        <v>111</v>
      </c>
      <c r="F121" s="18">
        <v>499</v>
      </c>
      <c r="G121" s="19">
        <v>55389</v>
      </c>
      <c r="H121" s="19">
        <v>53657</v>
      </c>
    </row>
    <row r="122" spans="1:8" x14ac:dyDescent="0.25">
      <c r="A122" s="20" t="s">
        <v>27</v>
      </c>
      <c r="B122" s="20" t="s">
        <v>28</v>
      </c>
      <c r="C122" s="21" t="s">
        <v>19</v>
      </c>
      <c r="D122" s="21" t="s">
        <v>16</v>
      </c>
      <c r="E122" s="20">
        <v>221</v>
      </c>
      <c r="F122" s="22">
        <v>1499</v>
      </c>
      <c r="G122" s="23">
        <v>331279</v>
      </c>
      <c r="H122" s="23">
        <v>311401</v>
      </c>
    </row>
    <row r="123" spans="1:8" x14ac:dyDescent="0.25">
      <c r="A123" s="16" t="s">
        <v>27</v>
      </c>
      <c r="B123" s="16" t="s">
        <v>28</v>
      </c>
      <c r="C123" s="17" t="s">
        <v>20</v>
      </c>
      <c r="D123" s="17" t="s">
        <v>12</v>
      </c>
      <c r="E123" s="16">
        <v>130</v>
      </c>
      <c r="F123" s="18">
        <v>1999</v>
      </c>
      <c r="G123" s="19">
        <v>259870</v>
      </c>
      <c r="H123" s="19">
        <v>293840</v>
      </c>
    </row>
    <row r="124" spans="1:8" x14ac:dyDescent="0.25">
      <c r="A124" s="20" t="s">
        <v>27</v>
      </c>
      <c r="B124" s="20" t="s">
        <v>28</v>
      </c>
      <c r="C124" s="21" t="s">
        <v>20</v>
      </c>
      <c r="D124" s="21" t="s">
        <v>13</v>
      </c>
      <c r="E124" s="20">
        <v>52</v>
      </c>
      <c r="F124" s="22">
        <v>799</v>
      </c>
      <c r="G124" s="23">
        <v>41548</v>
      </c>
      <c r="H124" s="23">
        <v>43058</v>
      </c>
    </row>
    <row r="125" spans="1:8" x14ac:dyDescent="0.25">
      <c r="A125" s="16" t="s">
        <v>27</v>
      </c>
      <c r="B125" s="16" t="s">
        <v>28</v>
      </c>
      <c r="C125" s="17" t="s">
        <v>20</v>
      </c>
      <c r="D125" s="17" t="s">
        <v>14</v>
      </c>
      <c r="E125" s="16">
        <v>194</v>
      </c>
      <c r="F125" s="18">
        <v>199</v>
      </c>
      <c r="G125" s="19">
        <v>38606</v>
      </c>
      <c r="H125" s="19">
        <v>33663</v>
      </c>
    </row>
    <row r="126" spans="1:8" x14ac:dyDescent="0.25">
      <c r="A126" s="20" t="s">
        <v>27</v>
      </c>
      <c r="B126" s="20" t="s">
        <v>28</v>
      </c>
      <c r="C126" s="21" t="s">
        <v>20</v>
      </c>
      <c r="D126" s="21" t="s">
        <v>15</v>
      </c>
      <c r="E126" s="20">
        <v>104</v>
      </c>
      <c r="F126" s="22">
        <v>999</v>
      </c>
      <c r="G126" s="23">
        <v>103896</v>
      </c>
      <c r="H126" s="23">
        <v>96577</v>
      </c>
    </row>
    <row r="127" spans="1:8" x14ac:dyDescent="0.25">
      <c r="A127" s="16" t="s">
        <v>27</v>
      </c>
      <c r="B127" s="16" t="s">
        <v>28</v>
      </c>
      <c r="C127" s="17" t="s">
        <v>20</v>
      </c>
      <c r="D127" s="17" t="s">
        <v>16</v>
      </c>
      <c r="E127" s="16">
        <v>288</v>
      </c>
      <c r="F127" s="18">
        <v>499</v>
      </c>
      <c r="G127" s="19">
        <v>143712</v>
      </c>
      <c r="H127" s="19">
        <v>160132</v>
      </c>
    </row>
    <row r="128" spans="1:8" x14ac:dyDescent="0.25">
      <c r="A128" s="20" t="s">
        <v>29</v>
      </c>
      <c r="B128" s="20" t="s">
        <v>30</v>
      </c>
      <c r="C128" s="21" t="s">
        <v>11</v>
      </c>
      <c r="D128" s="21" t="s">
        <v>12</v>
      </c>
      <c r="E128" s="20">
        <v>275</v>
      </c>
      <c r="F128" s="22">
        <v>299</v>
      </c>
      <c r="G128" s="23">
        <v>82225</v>
      </c>
      <c r="H128" s="23">
        <v>79006</v>
      </c>
    </row>
    <row r="129" spans="1:8" x14ac:dyDescent="0.25">
      <c r="A129" s="16" t="s">
        <v>29</v>
      </c>
      <c r="B129" s="16" t="s">
        <v>30</v>
      </c>
      <c r="C129" s="17" t="s">
        <v>11</v>
      </c>
      <c r="D129" s="17" t="s">
        <v>13</v>
      </c>
      <c r="E129" s="16">
        <v>90</v>
      </c>
      <c r="F129" s="18">
        <v>799</v>
      </c>
      <c r="G129" s="19">
        <v>71910</v>
      </c>
      <c r="H129" s="19">
        <v>79109</v>
      </c>
    </row>
    <row r="130" spans="1:8" x14ac:dyDescent="0.25">
      <c r="A130" s="20" t="s">
        <v>29</v>
      </c>
      <c r="B130" s="20" t="s">
        <v>30</v>
      </c>
      <c r="C130" s="21" t="s">
        <v>11</v>
      </c>
      <c r="D130" s="21" t="s">
        <v>14</v>
      </c>
      <c r="E130" s="20">
        <v>230</v>
      </c>
      <c r="F130" s="22">
        <v>499</v>
      </c>
      <c r="G130" s="23">
        <v>114770</v>
      </c>
      <c r="H130" s="23">
        <v>118615</v>
      </c>
    </row>
    <row r="131" spans="1:8" x14ac:dyDescent="0.25">
      <c r="A131" s="16" t="s">
        <v>29</v>
      </c>
      <c r="B131" s="16" t="s">
        <v>30</v>
      </c>
      <c r="C131" s="17" t="s">
        <v>11</v>
      </c>
      <c r="D131" s="17" t="s">
        <v>15</v>
      </c>
      <c r="E131" s="16">
        <v>256</v>
      </c>
      <c r="F131" s="18">
        <v>1499</v>
      </c>
      <c r="G131" s="19">
        <v>383744</v>
      </c>
      <c r="H131" s="19">
        <v>387075</v>
      </c>
    </row>
    <row r="132" spans="1:8" x14ac:dyDescent="0.25">
      <c r="A132" s="20" t="s">
        <v>29</v>
      </c>
      <c r="B132" s="20" t="s">
        <v>30</v>
      </c>
      <c r="C132" s="21" t="s">
        <v>11</v>
      </c>
      <c r="D132" s="21" t="s">
        <v>16</v>
      </c>
      <c r="E132" s="20">
        <v>220</v>
      </c>
      <c r="F132" s="22">
        <v>1999</v>
      </c>
      <c r="G132" s="23">
        <v>439780</v>
      </c>
      <c r="H132" s="23">
        <v>446983</v>
      </c>
    </row>
    <row r="133" spans="1:8" x14ac:dyDescent="0.25">
      <c r="A133" s="16" t="s">
        <v>29</v>
      </c>
      <c r="B133" s="16" t="s">
        <v>30</v>
      </c>
      <c r="C133" s="17" t="s">
        <v>17</v>
      </c>
      <c r="D133" s="17" t="s">
        <v>12</v>
      </c>
      <c r="E133" s="16">
        <v>288</v>
      </c>
      <c r="F133" s="18">
        <v>1499</v>
      </c>
      <c r="G133" s="19">
        <v>431712</v>
      </c>
      <c r="H133" s="19">
        <v>380371</v>
      </c>
    </row>
    <row r="134" spans="1:8" x14ac:dyDescent="0.25">
      <c r="A134" s="20" t="s">
        <v>29</v>
      </c>
      <c r="B134" s="20" t="s">
        <v>30</v>
      </c>
      <c r="C134" s="21" t="s">
        <v>17</v>
      </c>
      <c r="D134" s="21" t="s">
        <v>13</v>
      </c>
      <c r="E134" s="20">
        <v>274</v>
      </c>
      <c r="F134" s="22">
        <v>299</v>
      </c>
      <c r="G134" s="23">
        <v>81926</v>
      </c>
      <c r="H134" s="23">
        <v>76137</v>
      </c>
    </row>
    <row r="135" spans="1:8" x14ac:dyDescent="0.25">
      <c r="A135" s="16" t="s">
        <v>29</v>
      </c>
      <c r="B135" s="16" t="s">
        <v>30</v>
      </c>
      <c r="C135" s="17" t="s">
        <v>17</v>
      </c>
      <c r="D135" s="17" t="s">
        <v>14</v>
      </c>
      <c r="E135" s="16">
        <v>277</v>
      </c>
      <c r="F135" s="18">
        <v>199</v>
      </c>
      <c r="G135" s="19">
        <v>55123</v>
      </c>
      <c r="H135" s="19">
        <v>59131</v>
      </c>
    </row>
    <row r="136" spans="1:8" x14ac:dyDescent="0.25">
      <c r="A136" s="20" t="s">
        <v>29</v>
      </c>
      <c r="B136" s="20" t="s">
        <v>30</v>
      </c>
      <c r="C136" s="21" t="s">
        <v>17</v>
      </c>
      <c r="D136" s="21" t="s">
        <v>15</v>
      </c>
      <c r="E136" s="20">
        <v>89</v>
      </c>
      <c r="F136" s="22">
        <v>499</v>
      </c>
      <c r="G136" s="23">
        <v>44411</v>
      </c>
      <c r="H136" s="23">
        <v>41503</v>
      </c>
    </row>
    <row r="137" spans="1:8" x14ac:dyDescent="0.25">
      <c r="A137" s="16" t="s">
        <v>29</v>
      </c>
      <c r="B137" s="16" t="s">
        <v>30</v>
      </c>
      <c r="C137" s="17" t="s">
        <v>17</v>
      </c>
      <c r="D137" s="17" t="s">
        <v>16</v>
      </c>
      <c r="E137" s="16">
        <v>103</v>
      </c>
      <c r="F137" s="18">
        <v>1499</v>
      </c>
      <c r="G137" s="19">
        <v>154397</v>
      </c>
      <c r="H137" s="19">
        <v>147119</v>
      </c>
    </row>
    <row r="138" spans="1:8" x14ac:dyDescent="0.25">
      <c r="A138" s="20" t="s">
        <v>29</v>
      </c>
      <c r="B138" s="20" t="s">
        <v>30</v>
      </c>
      <c r="C138" s="21" t="s">
        <v>18</v>
      </c>
      <c r="D138" s="21" t="s">
        <v>12</v>
      </c>
      <c r="E138" s="20">
        <v>225</v>
      </c>
      <c r="F138" s="22">
        <v>1499</v>
      </c>
      <c r="G138" s="23">
        <v>337275</v>
      </c>
      <c r="H138" s="23">
        <v>372983</v>
      </c>
    </row>
    <row r="139" spans="1:8" x14ac:dyDescent="0.25">
      <c r="A139" s="16" t="s">
        <v>29</v>
      </c>
      <c r="B139" s="16" t="s">
        <v>30</v>
      </c>
      <c r="C139" s="17" t="s">
        <v>18</v>
      </c>
      <c r="D139" s="17" t="s">
        <v>13</v>
      </c>
      <c r="E139" s="16">
        <v>179</v>
      </c>
      <c r="F139" s="18">
        <v>799</v>
      </c>
      <c r="G139" s="19">
        <v>143021</v>
      </c>
      <c r="H139" s="19">
        <v>132342</v>
      </c>
    </row>
    <row r="140" spans="1:8" x14ac:dyDescent="0.25">
      <c r="A140" s="20" t="s">
        <v>29</v>
      </c>
      <c r="B140" s="20" t="s">
        <v>30</v>
      </c>
      <c r="C140" s="21" t="s">
        <v>18</v>
      </c>
      <c r="D140" s="21" t="s">
        <v>14</v>
      </c>
      <c r="E140" s="20">
        <v>282</v>
      </c>
      <c r="F140" s="22">
        <v>1999</v>
      </c>
      <c r="G140" s="23">
        <v>563718</v>
      </c>
      <c r="H140" s="23">
        <v>487751</v>
      </c>
    </row>
    <row r="141" spans="1:8" x14ac:dyDescent="0.25">
      <c r="A141" s="16" t="s">
        <v>29</v>
      </c>
      <c r="B141" s="16" t="s">
        <v>30</v>
      </c>
      <c r="C141" s="17" t="s">
        <v>18</v>
      </c>
      <c r="D141" s="17" t="s">
        <v>15</v>
      </c>
      <c r="E141" s="16">
        <v>212</v>
      </c>
      <c r="F141" s="18">
        <v>799</v>
      </c>
      <c r="G141" s="19">
        <v>169388</v>
      </c>
      <c r="H141" s="19">
        <v>186124</v>
      </c>
    </row>
    <row r="142" spans="1:8" x14ac:dyDescent="0.25">
      <c r="A142" s="20" t="s">
        <v>29</v>
      </c>
      <c r="B142" s="20" t="s">
        <v>30</v>
      </c>
      <c r="C142" s="21" t="s">
        <v>18</v>
      </c>
      <c r="D142" s="21" t="s">
        <v>16</v>
      </c>
      <c r="E142" s="20">
        <v>61</v>
      </c>
      <c r="F142" s="22">
        <v>199</v>
      </c>
      <c r="G142" s="23">
        <v>12139</v>
      </c>
      <c r="H142" s="23">
        <v>11532</v>
      </c>
    </row>
    <row r="143" spans="1:8" x14ac:dyDescent="0.25">
      <c r="A143" s="16" t="s">
        <v>29</v>
      </c>
      <c r="B143" s="16" t="s">
        <v>30</v>
      </c>
      <c r="C143" s="17" t="s">
        <v>19</v>
      </c>
      <c r="D143" s="17" t="s">
        <v>12</v>
      </c>
      <c r="E143" s="16">
        <v>83</v>
      </c>
      <c r="F143" s="18">
        <v>1499</v>
      </c>
      <c r="G143" s="19">
        <v>124417</v>
      </c>
      <c r="H143" s="19">
        <v>142325</v>
      </c>
    </row>
    <row r="144" spans="1:8" x14ac:dyDescent="0.25">
      <c r="A144" s="20" t="s">
        <v>29</v>
      </c>
      <c r="B144" s="20" t="s">
        <v>30</v>
      </c>
      <c r="C144" s="21" t="s">
        <v>19</v>
      </c>
      <c r="D144" s="21" t="s">
        <v>13</v>
      </c>
      <c r="E144" s="20">
        <v>91</v>
      </c>
      <c r="F144" s="22">
        <v>1499</v>
      </c>
      <c r="G144" s="23">
        <v>136409</v>
      </c>
      <c r="H144" s="23">
        <v>134028</v>
      </c>
    </row>
    <row r="145" spans="1:8" x14ac:dyDescent="0.25">
      <c r="A145" s="16" t="s">
        <v>29</v>
      </c>
      <c r="B145" s="16" t="s">
        <v>30</v>
      </c>
      <c r="C145" s="17" t="s">
        <v>19</v>
      </c>
      <c r="D145" s="17" t="s">
        <v>14</v>
      </c>
      <c r="E145" s="16">
        <v>230</v>
      </c>
      <c r="F145" s="18">
        <v>799</v>
      </c>
      <c r="G145" s="19">
        <v>183770</v>
      </c>
      <c r="H145" s="19">
        <v>187127</v>
      </c>
    </row>
    <row r="146" spans="1:8" x14ac:dyDescent="0.25">
      <c r="A146" s="20" t="s">
        <v>29</v>
      </c>
      <c r="B146" s="20" t="s">
        <v>30</v>
      </c>
      <c r="C146" s="21" t="s">
        <v>19</v>
      </c>
      <c r="D146" s="21" t="s">
        <v>15</v>
      </c>
      <c r="E146" s="20">
        <v>78</v>
      </c>
      <c r="F146" s="22">
        <v>199</v>
      </c>
      <c r="G146" s="23">
        <v>15522</v>
      </c>
      <c r="H146" s="23">
        <v>17594</v>
      </c>
    </row>
    <row r="147" spans="1:8" x14ac:dyDescent="0.25">
      <c r="A147" s="16" t="s">
        <v>29</v>
      </c>
      <c r="B147" s="16" t="s">
        <v>30</v>
      </c>
      <c r="C147" s="17" t="s">
        <v>19</v>
      </c>
      <c r="D147" s="17" t="s">
        <v>16</v>
      </c>
      <c r="E147" s="16">
        <v>226</v>
      </c>
      <c r="F147" s="18">
        <v>299</v>
      </c>
      <c r="G147" s="19">
        <v>67574</v>
      </c>
      <c r="H147" s="19">
        <v>68498</v>
      </c>
    </row>
    <row r="148" spans="1:8" x14ac:dyDescent="0.25">
      <c r="A148" s="20" t="s">
        <v>29</v>
      </c>
      <c r="B148" s="20" t="s">
        <v>30</v>
      </c>
      <c r="C148" s="21" t="s">
        <v>20</v>
      </c>
      <c r="D148" s="21" t="s">
        <v>12</v>
      </c>
      <c r="E148" s="20">
        <v>263</v>
      </c>
      <c r="F148" s="22">
        <v>499</v>
      </c>
      <c r="G148" s="23">
        <v>131237</v>
      </c>
      <c r="H148" s="23">
        <v>134485</v>
      </c>
    </row>
    <row r="149" spans="1:8" x14ac:dyDescent="0.25">
      <c r="A149" s="16" t="s">
        <v>29</v>
      </c>
      <c r="B149" s="16" t="s">
        <v>30</v>
      </c>
      <c r="C149" s="17" t="s">
        <v>20</v>
      </c>
      <c r="D149" s="17" t="s">
        <v>13</v>
      </c>
      <c r="E149" s="16">
        <v>87</v>
      </c>
      <c r="F149" s="18">
        <v>799</v>
      </c>
      <c r="G149" s="19">
        <v>69513</v>
      </c>
      <c r="H149" s="19">
        <v>61743</v>
      </c>
    </row>
    <row r="150" spans="1:8" x14ac:dyDescent="0.25">
      <c r="A150" s="20" t="s">
        <v>29</v>
      </c>
      <c r="B150" s="20" t="s">
        <v>30</v>
      </c>
      <c r="C150" s="21" t="s">
        <v>20</v>
      </c>
      <c r="D150" s="21" t="s">
        <v>14</v>
      </c>
      <c r="E150" s="20">
        <v>128</v>
      </c>
      <c r="F150" s="22">
        <v>499</v>
      </c>
      <c r="G150" s="23">
        <v>63872</v>
      </c>
      <c r="H150" s="23">
        <v>71517</v>
      </c>
    </row>
    <row r="151" spans="1:8" x14ac:dyDescent="0.25">
      <c r="A151" s="16" t="s">
        <v>29</v>
      </c>
      <c r="B151" s="16" t="s">
        <v>30</v>
      </c>
      <c r="C151" s="17" t="s">
        <v>20</v>
      </c>
      <c r="D151" s="17" t="s">
        <v>15</v>
      </c>
      <c r="E151" s="16">
        <v>253</v>
      </c>
      <c r="F151" s="18">
        <v>1999</v>
      </c>
      <c r="G151" s="19">
        <v>505747</v>
      </c>
      <c r="H151" s="19">
        <v>435937</v>
      </c>
    </row>
    <row r="152" spans="1:8" x14ac:dyDescent="0.25">
      <c r="A152" s="20" t="s">
        <v>29</v>
      </c>
      <c r="B152" s="20" t="s">
        <v>30</v>
      </c>
      <c r="C152" s="21" t="s">
        <v>20</v>
      </c>
      <c r="D152" s="21" t="s">
        <v>16</v>
      </c>
      <c r="E152" s="20">
        <v>141</v>
      </c>
      <c r="F152" s="22">
        <v>299</v>
      </c>
      <c r="G152" s="23">
        <v>42159</v>
      </c>
      <c r="H152" s="23">
        <v>44461</v>
      </c>
    </row>
    <row r="153" spans="1:8" x14ac:dyDescent="0.25">
      <c r="A153" s="16" t="s">
        <v>31</v>
      </c>
      <c r="B153" s="16" t="s">
        <v>32</v>
      </c>
      <c r="C153" s="17" t="s">
        <v>11</v>
      </c>
      <c r="D153" s="17" t="s">
        <v>12</v>
      </c>
      <c r="E153" s="16">
        <v>220</v>
      </c>
      <c r="F153" s="18">
        <v>199</v>
      </c>
      <c r="G153" s="19">
        <v>43780</v>
      </c>
      <c r="H153" s="19">
        <v>41858</v>
      </c>
    </row>
    <row r="154" spans="1:8" x14ac:dyDescent="0.25">
      <c r="A154" s="20" t="s">
        <v>31</v>
      </c>
      <c r="B154" s="20" t="s">
        <v>32</v>
      </c>
      <c r="C154" s="21" t="s">
        <v>11</v>
      </c>
      <c r="D154" s="21" t="s">
        <v>13</v>
      </c>
      <c r="E154" s="20">
        <v>193</v>
      </c>
      <c r="F154" s="22">
        <v>1999</v>
      </c>
      <c r="G154" s="23">
        <v>385807</v>
      </c>
      <c r="H154" s="23">
        <v>374970</v>
      </c>
    </row>
    <row r="155" spans="1:8" x14ac:dyDescent="0.25">
      <c r="A155" s="16" t="s">
        <v>31</v>
      </c>
      <c r="B155" s="16" t="s">
        <v>32</v>
      </c>
      <c r="C155" s="17" t="s">
        <v>11</v>
      </c>
      <c r="D155" s="17" t="s">
        <v>14</v>
      </c>
      <c r="E155" s="16">
        <v>208</v>
      </c>
      <c r="F155" s="18">
        <v>1499</v>
      </c>
      <c r="G155" s="19">
        <v>311792</v>
      </c>
      <c r="H155" s="19">
        <v>279479</v>
      </c>
    </row>
    <row r="156" spans="1:8" x14ac:dyDescent="0.25">
      <c r="A156" s="20" t="s">
        <v>31</v>
      </c>
      <c r="B156" s="20" t="s">
        <v>32</v>
      </c>
      <c r="C156" s="21" t="s">
        <v>11</v>
      </c>
      <c r="D156" s="21" t="s">
        <v>15</v>
      </c>
      <c r="E156" s="20">
        <v>288</v>
      </c>
      <c r="F156" s="22">
        <v>299</v>
      </c>
      <c r="G156" s="23">
        <v>86112</v>
      </c>
      <c r="H156" s="23">
        <v>95531</v>
      </c>
    </row>
    <row r="157" spans="1:8" x14ac:dyDescent="0.25">
      <c r="A157" s="16" t="s">
        <v>31</v>
      </c>
      <c r="B157" s="16" t="s">
        <v>32</v>
      </c>
      <c r="C157" s="17" t="s">
        <v>11</v>
      </c>
      <c r="D157" s="17" t="s">
        <v>16</v>
      </c>
      <c r="E157" s="16">
        <v>299</v>
      </c>
      <c r="F157" s="18">
        <v>1999</v>
      </c>
      <c r="G157" s="19">
        <v>597701</v>
      </c>
      <c r="H157" s="19">
        <v>653425</v>
      </c>
    </row>
    <row r="158" spans="1:8" x14ac:dyDescent="0.25">
      <c r="A158" s="20" t="s">
        <v>31</v>
      </c>
      <c r="B158" s="20" t="s">
        <v>32</v>
      </c>
      <c r="C158" s="21" t="s">
        <v>17</v>
      </c>
      <c r="D158" s="21" t="s">
        <v>12</v>
      </c>
      <c r="E158" s="20">
        <v>275</v>
      </c>
      <c r="F158" s="22">
        <v>799</v>
      </c>
      <c r="G158" s="23">
        <v>219725</v>
      </c>
      <c r="H158" s="23">
        <v>188400</v>
      </c>
    </row>
    <row r="159" spans="1:8" x14ac:dyDescent="0.25">
      <c r="A159" s="16" t="s">
        <v>31</v>
      </c>
      <c r="B159" s="16" t="s">
        <v>32</v>
      </c>
      <c r="C159" s="17" t="s">
        <v>17</v>
      </c>
      <c r="D159" s="17" t="s">
        <v>13</v>
      </c>
      <c r="E159" s="16">
        <v>238</v>
      </c>
      <c r="F159" s="18">
        <v>499</v>
      </c>
      <c r="G159" s="19">
        <v>118762</v>
      </c>
      <c r="H159" s="19">
        <v>128823</v>
      </c>
    </row>
    <row r="160" spans="1:8" x14ac:dyDescent="0.25">
      <c r="A160" s="20" t="s">
        <v>31</v>
      </c>
      <c r="B160" s="20" t="s">
        <v>32</v>
      </c>
      <c r="C160" s="21" t="s">
        <v>17</v>
      </c>
      <c r="D160" s="21" t="s">
        <v>14</v>
      </c>
      <c r="E160" s="20">
        <v>155</v>
      </c>
      <c r="F160" s="22">
        <v>1999</v>
      </c>
      <c r="G160" s="23">
        <v>309845</v>
      </c>
      <c r="H160" s="23">
        <v>325638</v>
      </c>
    </row>
    <row r="161" spans="1:8" x14ac:dyDescent="0.25">
      <c r="A161" s="16" t="s">
        <v>31</v>
      </c>
      <c r="B161" s="16" t="s">
        <v>32</v>
      </c>
      <c r="C161" s="17" t="s">
        <v>17</v>
      </c>
      <c r="D161" s="17" t="s">
        <v>15</v>
      </c>
      <c r="E161" s="16">
        <v>238</v>
      </c>
      <c r="F161" s="18">
        <v>1999</v>
      </c>
      <c r="G161" s="19">
        <v>475762</v>
      </c>
      <c r="H161" s="19">
        <v>439818</v>
      </c>
    </row>
    <row r="162" spans="1:8" x14ac:dyDescent="0.25">
      <c r="A162" s="20" t="s">
        <v>31</v>
      </c>
      <c r="B162" s="20" t="s">
        <v>32</v>
      </c>
      <c r="C162" s="21" t="s">
        <v>17</v>
      </c>
      <c r="D162" s="21" t="s">
        <v>16</v>
      </c>
      <c r="E162" s="20">
        <v>90</v>
      </c>
      <c r="F162" s="22">
        <v>1999</v>
      </c>
      <c r="G162" s="23">
        <v>179910</v>
      </c>
      <c r="H162" s="23">
        <v>190773</v>
      </c>
    </row>
    <row r="163" spans="1:8" x14ac:dyDescent="0.25">
      <c r="A163" s="16" t="s">
        <v>31</v>
      </c>
      <c r="B163" s="16" t="s">
        <v>32</v>
      </c>
      <c r="C163" s="17" t="s">
        <v>18</v>
      </c>
      <c r="D163" s="17" t="s">
        <v>12</v>
      </c>
      <c r="E163" s="16">
        <v>147</v>
      </c>
      <c r="F163" s="18">
        <v>1999</v>
      </c>
      <c r="G163" s="19">
        <v>293853</v>
      </c>
      <c r="H163" s="19">
        <v>253188</v>
      </c>
    </row>
    <row r="164" spans="1:8" x14ac:dyDescent="0.25">
      <c r="A164" s="20" t="s">
        <v>31</v>
      </c>
      <c r="B164" s="20" t="s">
        <v>32</v>
      </c>
      <c r="C164" s="21" t="s">
        <v>18</v>
      </c>
      <c r="D164" s="21" t="s">
        <v>13</v>
      </c>
      <c r="E164" s="20">
        <v>170</v>
      </c>
      <c r="F164" s="22">
        <v>299</v>
      </c>
      <c r="G164" s="23">
        <v>50830</v>
      </c>
      <c r="H164" s="23">
        <v>46248</v>
      </c>
    </row>
    <row r="165" spans="1:8" x14ac:dyDescent="0.25">
      <c r="A165" s="16" t="s">
        <v>31</v>
      </c>
      <c r="B165" s="16" t="s">
        <v>32</v>
      </c>
      <c r="C165" s="17" t="s">
        <v>18</v>
      </c>
      <c r="D165" s="17" t="s">
        <v>14</v>
      </c>
      <c r="E165" s="16">
        <v>285</v>
      </c>
      <c r="F165" s="18">
        <v>799</v>
      </c>
      <c r="G165" s="19">
        <v>227715</v>
      </c>
      <c r="H165" s="19">
        <v>217444</v>
      </c>
    </row>
    <row r="166" spans="1:8" x14ac:dyDescent="0.25">
      <c r="A166" s="20" t="s">
        <v>31</v>
      </c>
      <c r="B166" s="20" t="s">
        <v>32</v>
      </c>
      <c r="C166" s="21" t="s">
        <v>18</v>
      </c>
      <c r="D166" s="21" t="s">
        <v>15</v>
      </c>
      <c r="E166" s="20">
        <v>260</v>
      </c>
      <c r="F166" s="22">
        <v>1999</v>
      </c>
      <c r="G166" s="23">
        <v>519740</v>
      </c>
      <c r="H166" s="23">
        <v>577637</v>
      </c>
    </row>
    <row r="167" spans="1:8" x14ac:dyDescent="0.25">
      <c r="A167" s="16" t="s">
        <v>31</v>
      </c>
      <c r="B167" s="16" t="s">
        <v>32</v>
      </c>
      <c r="C167" s="17" t="s">
        <v>18</v>
      </c>
      <c r="D167" s="17" t="s">
        <v>16</v>
      </c>
      <c r="E167" s="16">
        <v>107</v>
      </c>
      <c r="F167" s="18">
        <v>199</v>
      </c>
      <c r="G167" s="19">
        <v>21293</v>
      </c>
      <c r="H167" s="19">
        <v>22315</v>
      </c>
    </row>
    <row r="168" spans="1:8" x14ac:dyDescent="0.25">
      <c r="A168" s="20" t="s">
        <v>31</v>
      </c>
      <c r="B168" s="20" t="s">
        <v>32</v>
      </c>
      <c r="C168" s="21" t="s">
        <v>19</v>
      </c>
      <c r="D168" s="21" t="s">
        <v>12</v>
      </c>
      <c r="E168" s="20">
        <v>152</v>
      </c>
      <c r="F168" s="22">
        <v>499</v>
      </c>
      <c r="G168" s="23">
        <v>75848</v>
      </c>
      <c r="H168" s="23">
        <v>70810</v>
      </c>
    </row>
    <row r="169" spans="1:8" x14ac:dyDescent="0.25">
      <c r="A169" s="16" t="s">
        <v>31</v>
      </c>
      <c r="B169" s="16" t="s">
        <v>32</v>
      </c>
      <c r="C169" s="17" t="s">
        <v>19</v>
      </c>
      <c r="D169" s="17" t="s">
        <v>13</v>
      </c>
      <c r="E169" s="16">
        <v>67</v>
      </c>
      <c r="F169" s="18">
        <v>1999</v>
      </c>
      <c r="G169" s="19">
        <v>133933</v>
      </c>
      <c r="H169" s="19">
        <v>125058</v>
      </c>
    </row>
    <row r="170" spans="1:8" x14ac:dyDescent="0.25">
      <c r="A170" s="20" t="s">
        <v>31</v>
      </c>
      <c r="B170" s="20" t="s">
        <v>32</v>
      </c>
      <c r="C170" s="21" t="s">
        <v>19</v>
      </c>
      <c r="D170" s="21" t="s">
        <v>14</v>
      </c>
      <c r="E170" s="20">
        <v>214</v>
      </c>
      <c r="F170" s="22">
        <v>999</v>
      </c>
      <c r="G170" s="23">
        <v>213786</v>
      </c>
      <c r="H170" s="23">
        <v>207351</v>
      </c>
    </row>
    <row r="171" spans="1:8" x14ac:dyDescent="0.25">
      <c r="A171" s="16" t="s">
        <v>31</v>
      </c>
      <c r="B171" s="16" t="s">
        <v>32</v>
      </c>
      <c r="C171" s="17" t="s">
        <v>19</v>
      </c>
      <c r="D171" s="17" t="s">
        <v>15</v>
      </c>
      <c r="E171" s="16">
        <v>265</v>
      </c>
      <c r="F171" s="18">
        <v>999</v>
      </c>
      <c r="G171" s="19">
        <v>264735</v>
      </c>
      <c r="H171" s="19">
        <v>251324</v>
      </c>
    </row>
    <row r="172" spans="1:8" x14ac:dyDescent="0.25">
      <c r="A172" s="20" t="s">
        <v>31</v>
      </c>
      <c r="B172" s="20" t="s">
        <v>32</v>
      </c>
      <c r="C172" s="21" t="s">
        <v>19</v>
      </c>
      <c r="D172" s="21" t="s">
        <v>16</v>
      </c>
      <c r="E172" s="20">
        <v>57</v>
      </c>
      <c r="F172" s="22">
        <v>199</v>
      </c>
      <c r="G172" s="23">
        <v>11343</v>
      </c>
      <c r="H172" s="23">
        <v>12626</v>
      </c>
    </row>
    <row r="173" spans="1:8" x14ac:dyDescent="0.25">
      <c r="A173" s="16" t="s">
        <v>31</v>
      </c>
      <c r="B173" s="16" t="s">
        <v>32</v>
      </c>
      <c r="C173" s="17" t="s">
        <v>20</v>
      </c>
      <c r="D173" s="17" t="s">
        <v>12</v>
      </c>
      <c r="E173" s="16">
        <v>116</v>
      </c>
      <c r="F173" s="18">
        <v>299</v>
      </c>
      <c r="G173" s="19">
        <v>34684</v>
      </c>
      <c r="H173" s="19">
        <v>35522</v>
      </c>
    </row>
    <row r="174" spans="1:8" x14ac:dyDescent="0.25">
      <c r="A174" s="20" t="s">
        <v>31</v>
      </c>
      <c r="B174" s="20" t="s">
        <v>32</v>
      </c>
      <c r="C174" s="21" t="s">
        <v>20</v>
      </c>
      <c r="D174" s="21" t="s">
        <v>13</v>
      </c>
      <c r="E174" s="20">
        <v>117</v>
      </c>
      <c r="F174" s="22">
        <v>199</v>
      </c>
      <c r="G174" s="23">
        <v>23283</v>
      </c>
      <c r="H174" s="23">
        <v>20547</v>
      </c>
    </row>
    <row r="175" spans="1:8" x14ac:dyDescent="0.25">
      <c r="A175" s="16" t="s">
        <v>31</v>
      </c>
      <c r="B175" s="16" t="s">
        <v>32</v>
      </c>
      <c r="C175" s="17" t="s">
        <v>20</v>
      </c>
      <c r="D175" s="17" t="s">
        <v>14</v>
      </c>
      <c r="E175" s="16">
        <v>161</v>
      </c>
      <c r="F175" s="18">
        <v>499</v>
      </c>
      <c r="G175" s="19">
        <v>80339</v>
      </c>
      <c r="H175" s="19">
        <v>85847</v>
      </c>
    </row>
    <row r="176" spans="1:8" x14ac:dyDescent="0.25">
      <c r="A176" s="20" t="s">
        <v>31</v>
      </c>
      <c r="B176" s="20" t="s">
        <v>32</v>
      </c>
      <c r="C176" s="21" t="s">
        <v>20</v>
      </c>
      <c r="D176" s="21" t="s">
        <v>15</v>
      </c>
      <c r="E176" s="20">
        <v>130</v>
      </c>
      <c r="F176" s="22">
        <v>799</v>
      </c>
      <c r="G176" s="23">
        <v>103870</v>
      </c>
      <c r="H176" s="23">
        <v>107179</v>
      </c>
    </row>
    <row r="177" spans="1:8" x14ac:dyDescent="0.25">
      <c r="A177" s="16" t="s">
        <v>31</v>
      </c>
      <c r="B177" s="16" t="s">
        <v>32</v>
      </c>
      <c r="C177" s="17" t="s">
        <v>20</v>
      </c>
      <c r="D177" s="17" t="s">
        <v>16</v>
      </c>
      <c r="E177" s="16">
        <v>180</v>
      </c>
      <c r="F177" s="18">
        <v>199</v>
      </c>
      <c r="G177" s="19">
        <v>35820</v>
      </c>
      <c r="H177" s="19">
        <v>34586</v>
      </c>
    </row>
    <row r="178" spans="1:8" x14ac:dyDescent="0.25">
      <c r="A178" s="20" t="s">
        <v>33</v>
      </c>
      <c r="B178" s="20" t="s">
        <v>34</v>
      </c>
      <c r="C178" s="21" t="s">
        <v>11</v>
      </c>
      <c r="D178" s="21" t="s">
        <v>12</v>
      </c>
      <c r="E178" s="20">
        <v>197</v>
      </c>
      <c r="F178" s="22">
        <v>299</v>
      </c>
      <c r="G178" s="23">
        <v>58903</v>
      </c>
      <c r="H178" s="23">
        <v>54568</v>
      </c>
    </row>
    <row r="179" spans="1:8" x14ac:dyDescent="0.25">
      <c r="A179" s="16" t="s">
        <v>33</v>
      </c>
      <c r="B179" s="16" t="s">
        <v>34</v>
      </c>
      <c r="C179" s="17" t="s">
        <v>11</v>
      </c>
      <c r="D179" s="17" t="s">
        <v>13</v>
      </c>
      <c r="E179" s="16">
        <v>231</v>
      </c>
      <c r="F179" s="18">
        <v>799</v>
      </c>
      <c r="G179" s="19">
        <v>184569</v>
      </c>
      <c r="H179" s="19">
        <v>156977</v>
      </c>
    </row>
    <row r="180" spans="1:8" x14ac:dyDescent="0.25">
      <c r="A180" s="20" t="s">
        <v>33</v>
      </c>
      <c r="B180" s="20" t="s">
        <v>34</v>
      </c>
      <c r="C180" s="21" t="s">
        <v>11</v>
      </c>
      <c r="D180" s="21" t="s">
        <v>14</v>
      </c>
      <c r="E180" s="20">
        <v>286</v>
      </c>
      <c r="F180" s="22">
        <v>1999</v>
      </c>
      <c r="G180" s="23">
        <v>571714</v>
      </c>
      <c r="H180" s="23">
        <v>578309</v>
      </c>
    </row>
    <row r="181" spans="1:8" x14ac:dyDescent="0.25">
      <c r="A181" s="16" t="s">
        <v>33</v>
      </c>
      <c r="B181" s="16" t="s">
        <v>34</v>
      </c>
      <c r="C181" s="17" t="s">
        <v>11</v>
      </c>
      <c r="D181" s="17" t="s">
        <v>15</v>
      </c>
      <c r="E181" s="16">
        <v>234</v>
      </c>
      <c r="F181" s="18">
        <v>1499</v>
      </c>
      <c r="G181" s="19">
        <v>350766</v>
      </c>
      <c r="H181" s="19">
        <v>375709</v>
      </c>
    </row>
    <row r="182" spans="1:8" x14ac:dyDescent="0.25">
      <c r="A182" s="20" t="s">
        <v>33</v>
      </c>
      <c r="B182" s="20" t="s">
        <v>34</v>
      </c>
      <c r="C182" s="21" t="s">
        <v>11</v>
      </c>
      <c r="D182" s="21" t="s">
        <v>16</v>
      </c>
      <c r="E182" s="20">
        <v>100</v>
      </c>
      <c r="F182" s="22">
        <v>499</v>
      </c>
      <c r="G182" s="23">
        <v>49900</v>
      </c>
      <c r="H182" s="23">
        <v>48871</v>
      </c>
    </row>
    <row r="183" spans="1:8" x14ac:dyDescent="0.25">
      <c r="A183" s="16" t="s">
        <v>33</v>
      </c>
      <c r="B183" s="16" t="s">
        <v>34</v>
      </c>
      <c r="C183" s="17" t="s">
        <v>17</v>
      </c>
      <c r="D183" s="17" t="s">
        <v>12</v>
      </c>
      <c r="E183" s="16">
        <v>292</v>
      </c>
      <c r="F183" s="18">
        <v>1499</v>
      </c>
      <c r="G183" s="19">
        <v>437708</v>
      </c>
      <c r="H183" s="19">
        <v>492960</v>
      </c>
    </row>
    <row r="184" spans="1:8" x14ac:dyDescent="0.25">
      <c r="A184" s="20" t="s">
        <v>33</v>
      </c>
      <c r="B184" s="20" t="s">
        <v>34</v>
      </c>
      <c r="C184" s="21" t="s">
        <v>17</v>
      </c>
      <c r="D184" s="21" t="s">
        <v>13</v>
      </c>
      <c r="E184" s="20">
        <v>209</v>
      </c>
      <c r="F184" s="22">
        <v>499</v>
      </c>
      <c r="G184" s="23">
        <v>104291</v>
      </c>
      <c r="H184" s="23">
        <v>109402</v>
      </c>
    </row>
    <row r="185" spans="1:8" x14ac:dyDescent="0.25">
      <c r="A185" s="16" t="s">
        <v>33</v>
      </c>
      <c r="B185" s="16" t="s">
        <v>34</v>
      </c>
      <c r="C185" s="17" t="s">
        <v>17</v>
      </c>
      <c r="D185" s="17" t="s">
        <v>14</v>
      </c>
      <c r="E185" s="16">
        <v>81</v>
      </c>
      <c r="F185" s="18">
        <v>1499</v>
      </c>
      <c r="G185" s="19">
        <v>121419</v>
      </c>
      <c r="H185" s="19">
        <v>135990</v>
      </c>
    </row>
    <row r="186" spans="1:8" x14ac:dyDescent="0.25">
      <c r="A186" s="20" t="s">
        <v>33</v>
      </c>
      <c r="B186" s="20" t="s">
        <v>34</v>
      </c>
      <c r="C186" s="21" t="s">
        <v>17</v>
      </c>
      <c r="D186" s="21" t="s">
        <v>15</v>
      </c>
      <c r="E186" s="20">
        <v>179</v>
      </c>
      <c r="F186" s="22">
        <v>499</v>
      </c>
      <c r="G186" s="23">
        <v>89321</v>
      </c>
      <c r="H186" s="23">
        <v>93793</v>
      </c>
    </row>
    <row r="187" spans="1:8" x14ac:dyDescent="0.25">
      <c r="A187" s="16" t="s">
        <v>33</v>
      </c>
      <c r="B187" s="16" t="s">
        <v>34</v>
      </c>
      <c r="C187" s="17" t="s">
        <v>17</v>
      </c>
      <c r="D187" s="17" t="s">
        <v>16</v>
      </c>
      <c r="E187" s="16">
        <v>133</v>
      </c>
      <c r="F187" s="18">
        <v>799</v>
      </c>
      <c r="G187" s="19">
        <v>106267</v>
      </c>
      <c r="H187" s="19">
        <v>112554</v>
      </c>
    </row>
    <row r="188" spans="1:8" x14ac:dyDescent="0.25">
      <c r="A188" s="20" t="s">
        <v>33</v>
      </c>
      <c r="B188" s="20" t="s">
        <v>34</v>
      </c>
      <c r="C188" s="21" t="s">
        <v>18</v>
      </c>
      <c r="D188" s="21" t="s">
        <v>12</v>
      </c>
      <c r="E188" s="20">
        <v>191</v>
      </c>
      <c r="F188" s="22">
        <v>299</v>
      </c>
      <c r="G188" s="23">
        <v>57109</v>
      </c>
      <c r="H188" s="23">
        <v>51829</v>
      </c>
    </row>
    <row r="189" spans="1:8" x14ac:dyDescent="0.25">
      <c r="A189" s="16" t="s">
        <v>33</v>
      </c>
      <c r="B189" s="16" t="s">
        <v>34</v>
      </c>
      <c r="C189" s="17" t="s">
        <v>18</v>
      </c>
      <c r="D189" s="17" t="s">
        <v>13</v>
      </c>
      <c r="E189" s="16">
        <v>220</v>
      </c>
      <c r="F189" s="18">
        <v>799</v>
      </c>
      <c r="G189" s="19">
        <v>175780</v>
      </c>
      <c r="H189" s="19">
        <v>185130</v>
      </c>
    </row>
    <row r="190" spans="1:8" x14ac:dyDescent="0.25">
      <c r="A190" s="20" t="s">
        <v>33</v>
      </c>
      <c r="B190" s="20" t="s">
        <v>34</v>
      </c>
      <c r="C190" s="21" t="s">
        <v>18</v>
      </c>
      <c r="D190" s="21" t="s">
        <v>14</v>
      </c>
      <c r="E190" s="20">
        <v>281</v>
      </c>
      <c r="F190" s="22">
        <v>299</v>
      </c>
      <c r="G190" s="23">
        <v>84019</v>
      </c>
      <c r="H190" s="23">
        <v>86930</v>
      </c>
    </row>
    <row r="191" spans="1:8" x14ac:dyDescent="0.25">
      <c r="A191" s="16" t="s">
        <v>33</v>
      </c>
      <c r="B191" s="16" t="s">
        <v>34</v>
      </c>
      <c r="C191" s="17" t="s">
        <v>18</v>
      </c>
      <c r="D191" s="17" t="s">
        <v>15</v>
      </c>
      <c r="E191" s="16">
        <v>127</v>
      </c>
      <c r="F191" s="18">
        <v>799</v>
      </c>
      <c r="G191" s="19">
        <v>101473</v>
      </c>
      <c r="H191" s="19">
        <v>102932</v>
      </c>
    </row>
    <row r="192" spans="1:8" x14ac:dyDescent="0.25">
      <c r="A192" s="20" t="s">
        <v>33</v>
      </c>
      <c r="B192" s="20" t="s">
        <v>34</v>
      </c>
      <c r="C192" s="21" t="s">
        <v>18</v>
      </c>
      <c r="D192" s="21" t="s">
        <v>16</v>
      </c>
      <c r="E192" s="20">
        <v>50</v>
      </c>
      <c r="F192" s="22">
        <v>499</v>
      </c>
      <c r="G192" s="23">
        <v>24950</v>
      </c>
      <c r="H192" s="23">
        <v>23355</v>
      </c>
    </row>
    <row r="193" spans="1:8" x14ac:dyDescent="0.25">
      <c r="A193" s="16" t="s">
        <v>33</v>
      </c>
      <c r="B193" s="16" t="s">
        <v>34</v>
      </c>
      <c r="C193" s="17" t="s">
        <v>19</v>
      </c>
      <c r="D193" s="17" t="s">
        <v>12</v>
      </c>
      <c r="E193" s="16">
        <v>160</v>
      </c>
      <c r="F193" s="18">
        <v>1999</v>
      </c>
      <c r="G193" s="19">
        <v>319840</v>
      </c>
      <c r="H193" s="19">
        <v>327514</v>
      </c>
    </row>
    <row r="194" spans="1:8" x14ac:dyDescent="0.25">
      <c r="A194" s="20" t="s">
        <v>33</v>
      </c>
      <c r="B194" s="20" t="s">
        <v>34</v>
      </c>
      <c r="C194" s="21" t="s">
        <v>19</v>
      </c>
      <c r="D194" s="21" t="s">
        <v>13</v>
      </c>
      <c r="E194" s="20">
        <v>217</v>
      </c>
      <c r="F194" s="22">
        <v>499</v>
      </c>
      <c r="G194" s="23">
        <v>108283</v>
      </c>
      <c r="H194" s="23">
        <v>107145</v>
      </c>
    </row>
    <row r="195" spans="1:8" x14ac:dyDescent="0.25">
      <c r="A195" s="16" t="s">
        <v>33</v>
      </c>
      <c r="B195" s="16" t="s">
        <v>34</v>
      </c>
      <c r="C195" s="17" t="s">
        <v>19</v>
      </c>
      <c r="D195" s="17" t="s">
        <v>14</v>
      </c>
      <c r="E195" s="16">
        <v>163</v>
      </c>
      <c r="F195" s="18">
        <v>1499</v>
      </c>
      <c r="G195" s="19">
        <v>244337</v>
      </c>
      <c r="H195" s="19">
        <v>223350</v>
      </c>
    </row>
    <row r="196" spans="1:8" x14ac:dyDescent="0.25">
      <c r="A196" s="20" t="s">
        <v>33</v>
      </c>
      <c r="B196" s="20" t="s">
        <v>34</v>
      </c>
      <c r="C196" s="21" t="s">
        <v>19</v>
      </c>
      <c r="D196" s="21" t="s">
        <v>15</v>
      </c>
      <c r="E196" s="20">
        <v>171</v>
      </c>
      <c r="F196" s="22">
        <v>1999</v>
      </c>
      <c r="G196" s="23">
        <v>341829</v>
      </c>
      <c r="H196" s="23">
        <v>382969</v>
      </c>
    </row>
    <row r="197" spans="1:8" x14ac:dyDescent="0.25">
      <c r="A197" s="16" t="s">
        <v>33</v>
      </c>
      <c r="B197" s="16" t="s">
        <v>34</v>
      </c>
      <c r="C197" s="17" t="s">
        <v>19</v>
      </c>
      <c r="D197" s="17" t="s">
        <v>16</v>
      </c>
      <c r="E197" s="16">
        <v>253</v>
      </c>
      <c r="F197" s="18">
        <v>1499</v>
      </c>
      <c r="G197" s="19">
        <v>379247</v>
      </c>
      <c r="H197" s="19">
        <v>341666</v>
      </c>
    </row>
    <row r="198" spans="1:8" x14ac:dyDescent="0.25">
      <c r="A198" s="20" t="s">
        <v>33</v>
      </c>
      <c r="B198" s="20" t="s">
        <v>34</v>
      </c>
      <c r="C198" s="21" t="s">
        <v>20</v>
      </c>
      <c r="D198" s="21" t="s">
        <v>12</v>
      </c>
      <c r="E198" s="20">
        <v>71</v>
      </c>
      <c r="F198" s="22">
        <v>499</v>
      </c>
      <c r="G198" s="23">
        <v>35429</v>
      </c>
      <c r="H198" s="23">
        <v>35593</v>
      </c>
    </row>
    <row r="199" spans="1:8" x14ac:dyDescent="0.25">
      <c r="A199" s="16" t="s">
        <v>33</v>
      </c>
      <c r="B199" s="16" t="s">
        <v>34</v>
      </c>
      <c r="C199" s="17" t="s">
        <v>20</v>
      </c>
      <c r="D199" s="17" t="s">
        <v>13</v>
      </c>
      <c r="E199" s="16">
        <v>212</v>
      </c>
      <c r="F199" s="18">
        <v>999</v>
      </c>
      <c r="G199" s="19">
        <v>211788</v>
      </c>
      <c r="H199" s="19">
        <v>201316</v>
      </c>
    </row>
    <row r="200" spans="1:8" x14ac:dyDescent="0.25">
      <c r="A200" s="20" t="s">
        <v>33</v>
      </c>
      <c r="B200" s="20" t="s">
        <v>34</v>
      </c>
      <c r="C200" s="21" t="s">
        <v>20</v>
      </c>
      <c r="D200" s="21" t="s">
        <v>14</v>
      </c>
      <c r="E200" s="20">
        <v>259</v>
      </c>
      <c r="F200" s="22">
        <v>1999</v>
      </c>
      <c r="G200" s="23">
        <v>517741</v>
      </c>
      <c r="H200" s="23">
        <v>476560</v>
      </c>
    </row>
    <row r="201" spans="1:8" x14ac:dyDescent="0.25">
      <c r="A201" s="16" t="s">
        <v>33</v>
      </c>
      <c r="B201" s="16" t="s">
        <v>34</v>
      </c>
      <c r="C201" s="17" t="s">
        <v>20</v>
      </c>
      <c r="D201" s="17" t="s">
        <v>15</v>
      </c>
      <c r="E201" s="16">
        <v>129</v>
      </c>
      <c r="F201" s="18">
        <v>299</v>
      </c>
      <c r="G201" s="19">
        <v>38571</v>
      </c>
      <c r="H201" s="19">
        <v>42118</v>
      </c>
    </row>
    <row r="202" spans="1:8" x14ac:dyDescent="0.25">
      <c r="A202" s="20" t="s">
        <v>33</v>
      </c>
      <c r="B202" s="20" t="s">
        <v>34</v>
      </c>
      <c r="C202" s="21" t="s">
        <v>20</v>
      </c>
      <c r="D202" s="21" t="s">
        <v>16</v>
      </c>
      <c r="E202" s="20">
        <v>87</v>
      </c>
      <c r="F202" s="22">
        <v>199</v>
      </c>
      <c r="G202" s="23">
        <v>17313</v>
      </c>
      <c r="H202" s="23">
        <v>14956</v>
      </c>
    </row>
    <row r="203" spans="1:8" x14ac:dyDescent="0.25">
      <c r="A203" s="16" t="s">
        <v>35</v>
      </c>
      <c r="B203" s="16" t="s">
        <v>36</v>
      </c>
      <c r="C203" s="17" t="s">
        <v>11</v>
      </c>
      <c r="D203" s="17" t="s">
        <v>12</v>
      </c>
      <c r="E203" s="16">
        <v>171</v>
      </c>
      <c r="F203" s="18">
        <v>999</v>
      </c>
      <c r="G203" s="19">
        <v>170829</v>
      </c>
      <c r="H203" s="19">
        <v>188752</v>
      </c>
    </row>
    <row r="204" spans="1:8" x14ac:dyDescent="0.25">
      <c r="A204" s="20" t="s">
        <v>35</v>
      </c>
      <c r="B204" s="20" t="s">
        <v>36</v>
      </c>
      <c r="C204" s="21" t="s">
        <v>11</v>
      </c>
      <c r="D204" s="21" t="s">
        <v>13</v>
      </c>
      <c r="E204" s="20">
        <v>68</v>
      </c>
      <c r="F204" s="22">
        <v>799</v>
      </c>
      <c r="G204" s="23">
        <v>54332</v>
      </c>
      <c r="H204" s="23">
        <v>52937</v>
      </c>
    </row>
    <row r="205" spans="1:8" x14ac:dyDescent="0.25">
      <c r="A205" s="16" t="s">
        <v>35</v>
      </c>
      <c r="B205" s="16" t="s">
        <v>36</v>
      </c>
      <c r="C205" s="17" t="s">
        <v>11</v>
      </c>
      <c r="D205" s="17" t="s">
        <v>14</v>
      </c>
      <c r="E205" s="16">
        <v>211</v>
      </c>
      <c r="F205" s="18">
        <v>999</v>
      </c>
      <c r="G205" s="19">
        <v>210789</v>
      </c>
      <c r="H205" s="19">
        <v>191466</v>
      </c>
    </row>
    <row r="206" spans="1:8" x14ac:dyDescent="0.25">
      <c r="A206" s="20" t="s">
        <v>35</v>
      </c>
      <c r="B206" s="20" t="s">
        <v>36</v>
      </c>
      <c r="C206" s="21" t="s">
        <v>11</v>
      </c>
      <c r="D206" s="21" t="s">
        <v>15</v>
      </c>
      <c r="E206" s="20">
        <v>228</v>
      </c>
      <c r="F206" s="22">
        <v>799</v>
      </c>
      <c r="G206" s="23">
        <v>182172</v>
      </c>
      <c r="H206" s="23">
        <v>181864</v>
      </c>
    </row>
    <row r="207" spans="1:8" x14ac:dyDescent="0.25">
      <c r="A207" s="16" t="s">
        <v>35</v>
      </c>
      <c r="B207" s="16" t="s">
        <v>36</v>
      </c>
      <c r="C207" s="17" t="s">
        <v>11</v>
      </c>
      <c r="D207" s="17" t="s">
        <v>16</v>
      </c>
      <c r="E207" s="16">
        <v>112</v>
      </c>
      <c r="F207" s="18">
        <v>299</v>
      </c>
      <c r="G207" s="19">
        <v>33488</v>
      </c>
      <c r="H207" s="19">
        <v>35055</v>
      </c>
    </row>
    <row r="208" spans="1:8" x14ac:dyDescent="0.25">
      <c r="A208" s="20" t="s">
        <v>35</v>
      </c>
      <c r="B208" s="20" t="s">
        <v>36</v>
      </c>
      <c r="C208" s="21" t="s">
        <v>17</v>
      </c>
      <c r="D208" s="21" t="s">
        <v>12</v>
      </c>
      <c r="E208" s="20">
        <v>51</v>
      </c>
      <c r="F208" s="22">
        <v>1999</v>
      </c>
      <c r="G208" s="23">
        <v>101949</v>
      </c>
      <c r="H208" s="23">
        <v>112972</v>
      </c>
    </row>
    <row r="209" spans="1:8" x14ac:dyDescent="0.25">
      <c r="A209" s="16" t="s">
        <v>35</v>
      </c>
      <c r="B209" s="16" t="s">
        <v>36</v>
      </c>
      <c r="C209" s="17" t="s">
        <v>17</v>
      </c>
      <c r="D209" s="17" t="s">
        <v>13</v>
      </c>
      <c r="E209" s="16">
        <v>276</v>
      </c>
      <c r="F209" s="18">
        <v>199</v>
      </c>
      <c r="G209" s="19">
        <v>54924</v>
      </c>
      <c r="H209" s="19">
        <v>59511</v>
      </c>
    </row>
    <row r="210" spans="1:8" x14ac:dyDescent="0.25">
      <c r="A210" s="20" t="s">
        <v>35</v>
      </c>
      <c r="B210" s="20" t="s">
        <v>36</v>
      </c>
      <c r="C210" s="21" t="s">
        <v>17</v>
      </c>
      <c r="D210" s="21" t="s">
        <v>14</v>
      </c>
      <c r="E210" s="20">
        <v>106</v>
      </c>
      <c r="F210" s="22">
        <v>299</v>
      </c>
      <c r="G210" s="23">
        <v>31694</v>
      </c>
      <c r="H210" s="23">
        <v>34585</v>
      </c>
    </row>
    <row r="211" spans="1:8" x14ac:dyDescent="0.25">
      <c r="A211" s="16" t="s">
        <v>35</v>
      </c>
      <c r="B211" s="16" t="s">
        <v>36</v>
      </c>
      <c r="C211" s="17" t="s">
        <v>17</v>
      </c>
      <c r="D211" s="17" t="s">
        <v>15</v>
      </c>
      <c r="E211" s="16">
        <v>228</v>
      </c>
      <c r="F211" s="18">
        <v>999</v>
      </c>
      <c r="G211" s="19">
        <v>227772</v>
      </c>
      <c r="H211" s="19">
        <v>225349</v>
      </c>
    </row>
    <row r="212" spans="1:8" x14ac:dyDescent="0.25">
      <c r="A212" s="20" t="s">
        <v>35</v>
      </c>
      <c r="B212" s="20" t="s">
        <v>36</v>
      </c>
      <c r="C212" s="21" t="s">
        <v>17</v>
      </c>
      <c r="D212" s="21" t="s">
        <v>16</v>
      </c>
      <c r="E212" s="20">
        <v>192</v>
      </c>
      <c r="F212" s="22">
        <v>299</v>
      </c>
      <c r="G212" s="23">
        <v>57408</v>
      </c>
      <c r="H212" s="23">
        <v>64597</v>
      </c>
    </row>
    <row r="213" spans="1:8" x14ac:dyDescent="0.25">
      <c r="A213" s="16" t="s">
        <v>35</v>
      </c>
      <c r="B213" s="16" t="s">
        <v>36</v>
      </c>
      <c r="C213" s="17" t="s">
        <v>18</v>
      </c>
      <c r="D213" s="17" t="s">
        <v>12</v>
      </c>
      <c r="E213" s="16">
        <v>81</v>
      </c>
      <c r="F213" s="18">
        <v>799</v>
      </c>
      <c r="G213" s="19">
        <v>64719</v>
      </c>
      <c r="H213" s="19">
        <v>57600</v>
      </c>
    </row>
    <row r="214" spans="1:8" x14ac:dyDescent="0.25">
      <c r="A214" s="20" t="s">
        <v>35</v>
      </c>
      <c r="B214" s="20" t="s">
        <v>36</v>
      </c>
      <c r="C214" s="21" t="s">
        <v>18</v>
      </c>
      <c r="D214" s="21" t="s">
        <v>13</v>
      </c>
      <c r="E214" s="20">
        <v>168</v>
      </c>
      <c r="F214" s="22">
        <v>1499</v>
      </c>
      <c r="G214" s="23">
        <v>251832</v>
      </c>
      <c r="H214" s="23">
        <v>254184</v>
      </c>
    </row>
    <row r="215" spans="1:8" x14ac:dyDescent="0.25">
      <c r="A215" s="16" t="s">
        <v>35</v>
      </c>
      <c r="B215" s="16" t="s">
        <v>36</v>
      </c>
      <c r="C215" s="17" t="s">
        <v>18</v>
      </c>
      <c r="D215" s="17" t="s">
        <v>14</v>
      </c>
      <c r="E215" s="16">
        <v>193</v>
      </c>
      <c r="F215" s="18">
        <v>999</v>
      </c>
      <c r="G215" s="19">
        <v>192807</v>
      </c>
      <c r="H215" s="19">
        <v>182239</v>
      </c>
    </row>
    <row r="216" spans="1:8" x14ac:dyDescent="0.25">
      <c r="A216" s="20" t="s">
        <v>35</v>
      </c>
      <c r="B216" s="20" t="s">
        <v>36</v>
      </c>
      <c r="C216" s="21" t="s">
        <v>18</v>
      </c>
      <c r="D216" s="21" t="s">
        <v>15</v>
      </c>
      <c r="E216" s="20">
        <v>243</v>
      </c>
      <c r="F216" s="22">
        <v>799</v>
      </c>
      <c r="G216" s="23">
        <v>194157</v>
      </c>
      <c r="H216" s="23">
        <v>200718</v>
      </c>
    </row>
    <row r="217" spans="1:8" x14ac:dyDescent="0.25">
      <c r="A217" s="16" t="s">
        <v>35</v>
      </c>
      <c r="B217" s="16" t="s">
        <v>36</v>
      </c>
      <c r="C217" s="17" t="s">
        <v>18</v>
      </c>
      <c r="D217" s="17" t="s">
        <v>16</v>
      </c>
      <c r="E217" s="16">
        <v>234</v>
      </c>
      <c r="F217" s="18">
        <v>999</v>
      </c>
      <c r="G217" s="19">
        <v>233766</v>
      </c>
      <c r="H217" s="19">
        <v>228628</v>
      </c>
    </row>
    <row r="218" spans="1:8" x14ac:dyDescent="0.25">
      <c r="A218" s="20" t="s">
        <v>35</v>
      </c>
      <c r="B218" s="20" t="s">
        <v>36</v>
      </c>
      <c r="C218" s="21" t="s">
        <v>19</v>
      </c>
      <c r="D218" s="21" t="s">
        <v>12</v>
      </c>
      <c r="E218" s="20">
        <v>282</v>
      </c>
      <c r="F218" s="22">
        <v>999</v>
      </c>
      <c r="G218" s="23">
        <v>281718</v>
      </c>
      <c r="H218" s="23">
        <v>277146</v>
      </c>
    </row>
    <row r="219" spans="1:8" x14ac:dyDescent="0.25">
      <c r="A219" s="16" t="s">
        <v>35</v>
      </c>
      <c r="B219" s="16" t="s">
        <v>36</v>
      </c>
      <c r="C219" s="17" t="s">
        <v>19</v>
      </c>
      <c r="D219" s="17" t="s">
        <v>13</v>
      </c>
      <c r="E219" s="16">
        <v>90</v>
      </c>
      <c r="F219" s="18">
        <v>1499</v>
      </c>
      <c r="G219" s="19">
        <v>134910</v>
      </c>
      <c r="H219" s="19">
        <v>149540</v>
      </c>
    </row>
    <row r="220" spans="1:8" x14ac:dyDescent="0.25">
      <c r="A220" s="20" t="s">
        <v>35</v>
      </c>
      <c r="B220" s="20" t="s">
        <v>36</v>
      </c>
      <c r="C220" s="21" t="s">
        <v>19</v>
      </c>
      <c r="D220" s="21" t="s">
        <v>14</v>
      </c>
      <c r="E220" s="20">
        <v>165</v>
      </c>
      <c r="F220" s="22">
        <v>499</v>
      </c>
      <c r="G220" s="23">
        <v>82335</v>
      </c>
      <c r="H220" s="23">
        <v>88554</v>
      </c>
    </row>
    <row r="221" spans="1:8" x14ac:dyDescent="0.25">
      <c r="A221" s="16" t="s">
        <v>35</v>
      </c>
      <c r="B221" s="16" t="s">
        <v>36</v>
      </c>
      <c r="C221" s="17" t="s">
        <v>19</v>
      </c>
      <c r="D221" s="17" t="s">
        <v>15</v>
      </c>
      <c r="E221" s="16">
        <v>265</v>
      </c>
      <c r="F221" s="18">
        <v>1499</v>
      </c>
      <c r="G221" s="19">
        <v>397235</v>
      </c>
      <c r="H221" s="19">
        <v>370697</v>
      </c>
    </row>
    <row r="222" spans="1:8" x14ac:dyDescent="0.25">
      <c r="A222" s="20" t="s">
        <v>35</v>
      </c>
      <c r="B222" s="20" t="s">
        <v>36</v>
      </c>
      <c r="C222" s="21" t="s">
        <v>19</v>
      </c>
      <c r="D222" s="21" t="s">
        <v>16</v>
      </c>
      <c r="E222" s="20">
        <v>249</v>
      </c>
      <c r="F222" s="22">
        <v>999</v>
      </c>
      <c r="G222" s="23">
        <v>248751</v>
      </c>
      <c r="H222" s="23">
        <v>247601</v>
      </c>
    </row>
    <row r="223" spans="1:8" x14ac:dyDescent="0.25">
      <c r="A223" s="16" t="s">
        <v>35</v>
      </c>
      <c r="B223" s="16" t="s">
        <v>36</v>
      </c>
      <c r="C223" s="17" t="s">
        <v>20</v>
      </c>
      <c r="D223" s="17" t="s">
        <v>12</v>
      </c>
      <c r="E223" s="16">
        <v>111</v>
      </c>
      <c r="F223" s="18">
        <v>499</v>
      </c>
      <c r="G223" s="19">
        <v>55389</v>
      </c>
      <c r="H223" s="19">
        <v>54389</v>
      </c>
    </row>
    <row r="224" spans="1:8" x14ac:dyDescent="0.25">
      <c r="A224" s="20" t="s">
        <v>35</v>
      </c>
      <c r="B224" s="20" t="s">
        <v>36</v>
      </c>
      <c r="C224" s="21" t="s">
        <v>20</v>
      </c>
      <c r="D224" s="21" t="s">
        <v>13</v>
      </c>
      <c r="E224" s="20">
        <v>232</v>
      </c>
      <c r="F224" s="22">
        <v>499</v>
      </c>
      <c r="G224" s="23">
        <v>115768</v>
      </c>
      <c r="H224" s="23">
        <v>106546</v>
      </c>
    </row>
    <row r="225" spans="1:8" x14ac:dyDescent="0.25">
      <c r="A225" s="16" t="s">
        <v>35</v>
      </c>
      <c r="B225" s="16" t="s">
        <v>36</v>
      </c>
      <c r="C225" s="17" t="s">
        <v>20</v>
      </c>
      <c r="D225" s="17" t="s">
        <v>14</v>
      </c>
      <c r="E225" s="16">
        <v>135</v>
      </c>
      <c r="F225" s="18">
        <v>499</v>
      </c>
      <c r="G225" s="19">
        <v>67365</v>
      </c>
      <c r="H225" s="19">
        <v>75307</v>
      </c>
    </row>
    <row r="226" spans="1:8" x14ac:dyDescent="0.25">
      <c r="A226" s="20" t="s">
        <v>35</v>
      </c>
      <c r="B226" s="20" t="s">
        <v>36</v>
      </c>
      <c r="C226" s="21" t="s">
        <v>20</v>
      </c>
      <c r="D226" s="21" t="s">
        <v>15</v>
      </c>
      <c r="E226" s="20">
        <v>70</v>
      </c>
      <c r="F226" s="22">
        <v>299</v>
      </c>
      <c r="G226" s="23">
        <v>20930</v>
      </c>
      <c r="H226" s="23">
        <v>18737</v>
      </c>
    </row>
    <row r="227" spans="1:8" x14ac:dyDescent="0.25">
      <c r="A227" s="16" t="s">
        <v>35</v>
      </c>
      <c r="B227" s="16" t="s">
        <v>36</v>
      </c>
      <c r="C227" s="17" t="s">
        <v>20</v>
      </c>
      <c r="D227" s="17" t="s">
        <v>16</v>
      </c>
      <c r="E227" s="16">
        <v>148</v>
      </c>
      <c r="F227" s="18">
        <v>1499</v>
      </c>
      <c r="G227" s="19">
        <v>221852</v>
      </c>
      <c r="H227" s="19">
        <v>198744</v>
      </c>
    </row>
    <row r="228" spans="1:8" x14ac:dyDescent="0.25">
      <c r="A228" s="20" t="s">
        <v>37</v>
      </c>
      <c r="B228" s="20" t="s">
        <v>38</v>
      </c>
      <c r="C228" s="21" t="s">
        <v>11</v>
      </c>
      <c r="D228" s="21" t="s">
        <v>12</v>
      </c>
      <c r="E228" s="20">
        <v>104</v>
      </c>
      <c r="F228" s="22">
        <v>199</v>
      </c>
      <c r="G228" s="23">
        <v>20696</v>
      </c>
      <c r="H228" s="23">
        <v>20167</v>
      </c>
    </row>
    <row r="229" spans="1:8" x14ac:dyDescent="0.25">
      <c r="A229" s="16" t="s">
        <v>37</v>
      </c>
      <c r="B229" s="16" t="s">
        <v>38</v>
      </c>
      <c r="C229" s="17" t="s">
        <v>11</v>
      </c>
      <c r="D229" s="17" t="s">
        <v>13</v>
      </c>
      <c r="E229" s="16">
        <v>134</v>
      </c>
      <c r="F229" s="18">
        <v>999</v>
      </c>
      <c r="G229" s="19">
        <v>133866</v>
      </c>
      <c r="H229" s="19">
        <v>132497</v>
      </c>
    </row>
    <row r="230" spans="1:8" x14ac:dyDescent="0.25">
      <c r="A230" s="20" t="s">
        <v>37</v>
      </c>
      <c r="B230" s="20" t="s">
        <v>38</v>
      </c>
      <c r="C230" s="21" t="s">
        <v>11</v>
      </c>
      <c r="D230" s="21" t="s">
        <v>14</v>
      </c>
      <c r="E230" s="20">
        <v>65</v>
      </c>
      <c r="F230" s="22">
        <v>299</v>
      </c>
      <c r="G230" s="23">
        <v>19435</v>
      </c>
      <c r="H230" s="23">
        <v>21375</v>
      </c>
    </row>
    <row r="231" spans="1:8" x14ac:dyDescent="0.25">
      <c r="A231" s="16" t="s">
        <v>37</v>
      </c>
      <c r="B231" s="16" t="s">
        <v>38</v>
      </c>
      <c r="C231" s="17" t="s">
        <v>11</v>
      </c>
      <c r="D231" s="17" t="s">
        <v>15</v>
      </c>
      <c r="E231" s="16">
        <v>149</v>
      </c>
      <c r="F231" s="18">
        <v>1999</v>
      </c>
      <c r="G231" s="19">
        <v>297851</v>
      </c>
      <c r="H231" s="19">
        <v>305363</v>
      </c>
    </row>
    <row r="232" spans="1:8" x14ac:dyDescent="0.25">
      <c r="A232" s="20" t="s">
        <v>37</v>
      </c>
      <c r="B232" s="20" t="s">
        <v>38</v>
      </c>
      <c r="C232" s="21" t="s">
        <v>11</v>
      </c>
      <c r="D232" s="21" t="s">
        <v>16</v>
      </c>
      <c r="E232" s="20">
        <v>228</v>
      </c>
      <c r="F232" s="22">
        <v>199</v>
      </c>
      <c r="G232" s="23">
        <v>45372</v>
      </c>
      <c r="H232" s="23">
        <v>50227</v>
      </c>
    </row>
    <row r="233" spans="1:8" x14ac:dyDescent="0.25">
      <c r="A233" s="16" t="s">
        <v>37</v>
      </c>
      <c r="B233" s="16" t="s">
        <v>38</v>
      </c>
      <c r="C233" s="17" t="s">
        <v>17</v>
      </c>
      <c r="D233" s="17" t="s">
        <v>12</v>
      </c>
      <c r="E233" s="16">
        <v>245</v>
      </c>
      <c r="F233" s="18">
        <v>999</v>
      </c>
      <c r="G233" s="19">
        <v>244755</v>
      </c>
      <c r="H233" s="19">
        <v>235971</v>
      </c>
    </row>
    <row r="234" spans="1:8" x14ac:dyDescent="0.25">
      <c r="A234" s="20" t="s">
        <v>37</v>
      </c>
      <c r="B234" s="20" t="s">
        <v>38</v>
      </c>
      <c r="C234" s="21" t="s">
        <v>17</v>
      </c>
      <c r="D234" s="21" t="s">
        <v>13</v>
      </c>
      <c r="E234" s="20">
        <v>51</v>
      </c>
      <c r="F234" s="22">
        <v>499</v>
      </c>
      <c r="G234" s="23">
        <v>25449</v>
      </c>
      <c r="H234" s="23">
        <v>23911</v>
      </c>
    </row>
    <row r="235" spans="1:8" x14ac:dyDescent="0.25">
      <c r="A235" s="16" t="s">
        <v>37</v>
      </c>
      <c r="B235" s="16" t="s">
        <v>38</v>
      </c>
      <c r="C235" s="17" t="s">
        <v>17</v>
      </c>
      <c r="D235" s="17" t="s">
        <v>14</v>
      </c>
      <c r="E235" s="16">
        <v>149</v>
      </c>
      <c r="F235" s="18">
        <v>1999</v>
      </c>
      <c r="G235" s="19">
        <v>297851</v>
      </c>
      <c r="H235" s="19">
        <v>332846</v>
      </c>
    </row>
    <row r="236" spans="1:8" x14ac:dyDescent="0.25">
      <c r="A236" s="20" t="s">
        <v>37</v>
      </c>
      <c r="B236" s="20" t="s">
        <v>38</v>
      </c>
      <c r="C236" s="21" t="s">
        <v>17</v>
      </c>
      <c r="D236" s="21" t="s">
        <v>15</v>
      </c>
      <c r="E236" s="20">
        <v>263</v>
      </c>
      <c r="F236" s="22">
        <v>799</v>
      </c>
      <c r="G236" s="23">
        <v>210137</v>
      </c>
      <c r="H236" s="23">
        <v>212546</v>
      </c>
    </row>
    <row r="237" spans="1:8" x14ac:dyDescent="0.25">
      <c r="A237" s="16" t="s">
        <v>37</v>
      </c>
      <c r="B237" s="16" t="s">
        <v>38</v>
      </c>
      <c r="C237" s="17" t="s">
        <v>17</v>
      </c>
      <c r="D237" s="17" t="s">
        <v>16</v>
      </c>
      <c r="E237" s="16">
        <v>238</v>
      </c>
      <c r="F237" s="18">
        <v>999</v>
      </c>
      <c r="G237" s="19">
        <v>237762</v>
      </c>
      <c r="H237" s="19">
        <v>259151</v>
      </c>
    </row>
    <row r="238" spans="1:8" x14ac:dyDescent="0.25">
      <c r="A238" s="20" t="s">
        <v>37</v>
      </c>
      <c r="B238" s="20" t="s">
        <v>38</v>
      </c>
      <c r="C238" s="21" t="s">
        <v>18</v>
      </c>
      <c r="D238" s="21" t="s">
        <v>12</v>
      </c>
      <c r="E238" s="20">
        <v>279</v>
      </c>
      <c r="F238" s="22">
        <v>299</v>
      </c>
      <c r="G238" s="23">
        <v>83421</v>
      </c>
      <c r="H238" s="23">
        <v>83126</v>
      </c>
    </row>
    <row r="239" spans="1:8" x14ac:dyDescent="0.25">
      <c r="A239" s="16" t="s">
        <v>37</v>
      </c>
      <c r="B239" s="16" t="s">
        <v>38</v>
      </c>
      <c r="C239" s="17" t="s">
        <v>18</v>
      </c>
      <c r="D239" s="17" t="s">
        <v>13</v>
      </c>
      <c r="E239" s="16">
        <v>119</v>
      </c>
      <c r="F239" s="18">
        <v>799</v>
      </c>
      <c r="G239" s="19">
        <v>95081</v>
      </c>
      <c r="H239" s="19">
        <v>94671</v>
      </c>
    </row>
    <row r="240" spans="1:8" x14ac:dyDescent="0.25">
      <c r="A240" s="20" t="s">
        <v>37</v>
      </c>
      <c r="B240" s="20" t="s">
        <v>38</v>
      </c>
      <c r="C240" s="21" t="s">
        <v>18</v>
      </c>
      <c r="D240" s="21" t="s">
        <v>14</v>
      </c>
      <c r="E240" s="20">
        <v>149</v>
      </c>
      <c r="F240" s="22">
        <v>499</v>
      </c>
      <c r="G240" s="23">
        <v>74351</v>
      </c>
      <c r="H240" s="23">
        <v>78117</v>
      </c>
    </row>
    <row r="241" spans="1:8" x14ac:dyDescent="0.25">
      <c r="A241" s="16" t="s">
        <v>37</v>
      </c>
      <c r="B241" s="16" t="s">
        <v>38</v>
      </c>
      <c r="C241" s="17" t="s">
        <v>18</v>
      </c>
      <c r="D241" s="17" t="s">
        <v>15</v>
      </c>
      <c r="E241" s="16">
        <v>254</v>
      </c>
      <c r="F241" s="18">
        <v>799</v>
      </c>
      <c r="G241" s="19">
        <v>202946</v>
      </c>
      <c r="H241" s="19">
        <v>216595</v>
      </c>
    </row>
    <row r="242" spans="1:8" x14ac:dyDescent="0.25">
      <c r="A242" s="20" t="s">
        <v>37</v>
      </c>
      <c r="B242" s="20" t="s">
        <v>38</v>
      </c>
      <c r="C242" s="21" t="s">
        <v>18</v>
      </c>
      <c r="D242" s="21" t="s">
        <v>16</v>
      </c>
      <c r="E242" s="20">
        <v>265</v>
      </c>
      <c r="F242" s="22">
        <v>799</v>
      </c>
      <c r="G242" s="23">
        <v>211735</v>
      </c>
      <c r="H242" s="23">
        <v>238384</v>
      </c>
    </row>
    <row r="243" spans="1:8" x14ac:dyDescent="0.25">
      <c r="A243" s="16" t="s">
        <v>37</v>
      </c>
      <c r="B243" s="16" t="s">
        <v>38</v>
      </c>
      <c r="C243" s="17" t="s">
        <v>19</v>
      </c>
      <c r="D243" s="17" t="s">
        <v>12</v>
      </c>
      <c r="E243" s="16">
        <v>209</v>
      </c>
      <c r="F243" s="18">
        <v>999</v>
      </c>
      <c r="G243" s="19">
        <v>208791</v>
      </c>
      <c r="H243" s="19">
        <v>179161</v>
      </c>
    </row>
    <row r="244" spans="1:8" x14ac:dyDescent="0.25">
      <c r="A244" s="20" t="s">
        <v>37</v>
      </c>
      <c r="B244" s="20" t="s">
        <v>38</v>
      </c>
      <c r="C244" s="21" t="s">
        <v>19</v>
      </c>
      <c r="D244" s="21" t="s">
        <v>13</v>
      </c>
      <c r="E244" s="20">
        <v>150</v>
      </c>
      <c r="F244" s="22">
        <v>999</v>
      </c>
      <c r="G244" s="23">
        <v>149850</v>
      </c>
      <c r="H244" s="23">
        <v>152744</v>
      </c>
    </row>
    <row r="245" spans="1:8" x14ac:dyDescent="0.25">
      <c r="A245" s="16" t="s">
        <v>37</v>
      </c>
      <c r="B245" s="16" t="s">
        <v>38</v>
      </c>
      <c r="C245" s="17" t="s">
        <v>19</v>
      </c>
      <c r="D245" s="17" t="s">
        <v>14</v>
      </c>
      <c r="E245" s="16">
        <v>56</v>
      </c>
      <c r="F245" s="18">
        <v>199</v>
      </c>
      <c r="G245" s="19">
        <v>11144</v>
      </c>
      <c r="H245" s="19">
        <v>11621</v>
      </c>
    </row>
    <row r="246" spans="1:8" x14ac:dyDescent="0.25">
      <c r="A246" s="20" t="s">
        <v>37</v>
      </c>
      <c r="B246" s="20" t="s">
        <v>38</v>
      </c>
      <c r="C246" s="21" t="s">
        <v>19</v>
      </c>
      <c r="D246" s="21" t="s">
        <v>15</v>
      </c>
      <c r="E246" s="20">
        <v>84</v>
      </c>
      <c r="F246" s="22">
        <v>1999</v>
      </c>
      <c r="G246" s="23">
        <v>167916</v>
      </c>
      <c r="H246" s="23">
        <v>165986</v>
      </c>
    </row>
    <row r="247" spans="1:8" x14ac:dyDescent="0.25">
      <c r="A247" s="16" t="s">
        <v>37</v>
      </c>
      <c r="B247" s="16" t="s">
        <v>38</v>
      </c>
      <c r="C247" s="17" t="s">
        <v>19</v>
      </c>
      <c r="D247" s="17" t="s">
        <v>16</v>
      </c>
      <c r="E247" s="16">
        <v>62</v>
      </c>
      <c r="F247" s="18">
        <v>499</v>
      </c>
      <c r="G247" s="19">
        <v>30938</v>
      </c>
      <c r="H247" s="19">
        <v>29815</v>
      </c>
    </row>
    <row r="248" spans="1:8" x14ac:dyDescent="0.25">
      <c r="A248" s="20" t="s">
        <v>37</v>
      </c>
      <c r="B248" s="20" t="s">
        <v>38</v>
      </c>
      <c r="C248" s="21" t="s">
        <v>20</v>
      </c>
      <c r="D248" s="21" t="s">
        <v>12</v>
      </c>
      <c r="E248" s="20">
        <v>104</v>
      </c>
      <c r="F248" s="22">
        <v>799</v>
      </c>
      <c r="G248" s="23">
        <v>83096</v>
      </c>
      <c r="H248" s="23">
        <v>78779</v>
      </c>
    </row>
    <row r="249" spans="1:8" x14ac:dyDescent="0.25">
      <c r="A249" s="16" t="s">
        <v>37</v>
      </c>
      <c r="B249" s="16" t="s">
        <v>38</v>
      </c>
      <c r="C249" s="17" t="s">
        <v>20</v>
      </c>
      <c r="D249" s="17" t="s">
        <v>13</v>
      </c>
      <c r="E249" s="16">
        <v>244</v>
      </c>
      <c r="F249" s="18">
        <v>799</v>
      </c>
      <c r="G249" s="19">
        <v>194956</v>
      </c>
      <c r="H249" s="19">
        <v>181986</v>
      </c>
    </row>
    <row r="250" spans="1:8" x14ac:dyDescent="0.25">
      <c r="A250" s="20" t="s">
        <v>37</v>
      </c>
      <c r="B250" s="20" t="s">
        <v>38</v>
      </c>
      <c r="C250" s="21" t="s">
        <v>20</v>
      </c>
      <c r="D250" s="21" t="s">
        <v>14</v>
      </c>
      <c r="E250" s="20">
        <v>293</v>
      </c>
      <c r="F250" s="22">
        <v>1999</v>
      </c>
      <c r="G250" s="23">
        <v>585707</v>
      </c>
      <c r="H250" s="23">
        <v>571924</v>
      </c>
    </row>
    <row r="251" spans="1:8" x14ac:dyDescent="0.25">
      <c r="A251" s="16" t="s">
        <v>37</v>
      </c>
      <c r="B251" s="16" t="s">
        <v>38</v>
      </c>
      <c r="C251" s="17" t="s">
        <v>20</v>
      </c>
      <c r="D251" s="17" t="s">
        <v>15</v>
      </c>
      <c r="E251" s="16">
        <v>263</v>
      </c>
      <c r="F251" s="18">
        <v>199</v>
      </c>
      <c r="G251" s="19">
        <v>52337</v>
      </c>
      <c r="H251" s="19">
        <v>51870</v>
      </c>
    </row>
    <row r="252" spans="1:8" x14ac:dyDescent="0.25">
      <c r="A252" s="20" t="s">
        <v>37</v>
      </c>
      <c r="B252" s="20" t="s">
        <v>38</v>
      </c>
      <c r="C252" s="21" t="s">
        <v>20</v>
      </c>
      <c r="D252" s="21" t="s">
        <v>16</v>
      </c>
      <c r="E252" s="20">
        <v>241</v>
      </c>
      <c r="F252" s="22">
        <v>999</v>
      </c>
      <c r="G252" s="23">
        <v>240759</v>
      </c>
      <c r="H252" s="23">
        <v>208407</v>
      </c>
    </row>
    <row r="253" spans="1:8" x14ac:dyDescent="0.25">
      <c r="A253" s="16" t="s">
        <v>39</v>
      </c>
      <c r="B253" s="16" t="s">
        <v>40</v>
      </c>
      <c r="C253" s="17" t="s">
        <v>11</v>
      </c>
      <c r="D253" s="17" t="s">
        <v>12</v>
      </c>
      <c r="E253" s="16">
        <v>293</v>
      </c>
      <c r="F253" s="18">
        <v>499</v>
      </c>
      <c r="G253" s="19">
        <v>146207</v>
      </c>
      <c r="H253" s="19">
        <v>134110</v>
      </c>
    </row>
    <row r="254" spans="1:8" x14ac:dyDescent="0.25">
      <c r="A254" s="20" t="s">
        <v>39</v>
      </c>
      <c r="B254" s="20" t="s">
        <v>40</v>
      </c>
      <c r="C254" s="21" t="s">
        <v>11</v>
      </c>
      <c r="D254" s="21" t="s">
        <v>13</v>
      </c>
      <c r="E254" s="20">
        <v>67</v>
      </c>
      <c r="F254" s="22">
        <v>1999</v>
      </c>
      <c r="G254" s="23">
        <v>133933</v>
      </c>
      <c r="H254" s="23">
        <v>152306</v>
      </c>
    </row>
    <row r="255" spans="1:8" x14ac:dyDescent="0.25">
      <c r="A255" s="16" t="s">
        <v>39</v>
      </c>
      <c r="B255" s="16" t="s">
        <v>40</v>
      </c>
      <c r="C255" s="17" t="s">
        <v>11</v>
      </c>
      <c r="D255" s="17" t="s">
        <v>14</v>
      </c>
      <c r="E255" s="16">
        <v>60</v>
      </c>
      <c r="F255" s="18">
        <v>1999</v>
      </c>
      <c r="G255" s="19">
        <v>119940</v>
      </c>
      <c r="H255" s="19">
        <v>103065</v>
      </c>
    </row>
    <row r="256" spans="1:8" x14ac:dyDescent="0.25">
      <c r="A256" s="20" t="s">
        <v>39</v>
      </c>
      <c r="B256" s="20" t="s">
        <v>40</v>
      </c>
      <c r="C256" s="21" t="s">
        <v>11</v>
      </c>
      <c r="D256" s="21" t="s">
        <v>15</v>
      </c>
      <c r="E256" s="20">
        <v>113</v>
      </c>
      <c r="F256" s="22">
        <v>299</v>
      </c>
      <c r="G256" s="23">
        <v>33787</v>
      </c>
      <c r="H256" s="23">
        <v>37225</v>
      </c>
    </row>
    <row r="257" spans="1:8" x14ac:dyDescent="0.25">
      <c r="A257" s="16" t="s">
        <v>39</v>
      </c>
      <c r="B257" s="16" t="s">
        <v>40</v>
      </c>
      <c r="C257" s="17" t="s">
        <v>11</v>
      </c>
      <c r="D257" s="17" t="s">
        <v>16</v>
      </c>
      <c r="E257" s="16">
        <v>209</v>
      </c>
      <c r="F257" s="18">
        <v>299</v>
      </c>
      <c r="G257" s="19">
        <v>62491</v>
      </c>
      <c r="H257" s="19">
        <v>57589</v>
      </c>
    </row>
    <row r="258" spans="1:8" x14ac:dyDescent="0.25">
      <c r="A258" s="20" t="s">
        <v>39</v>
      </c>
      <c r="B258" s="20" t="s">
        <v>40</v>
      </c>
      <c r="C258" s="21" t="s">
        <v>17</v>
      </c>
      <c r="D258" s="21" t="s">
        <v>12</v>
      </c>
      <c r="E258" s="20">
        <v>171</v>
      </c>
      <c r="F258" s="22">
        <v>1499</v>
      </c>
      <c r="G258" s="23">
        <v>256329</v>
      </c>
      <c r="H258" s="23">
        <v>226676</v>
      </c>
    </row>
    <row r="259" spans="1:8" x14ac:dyDescent="0.25">
      <c r="A259" s="16" t="s">
        <v>39</v>
      </c>
      <c r="B259" s="16" t="s">
        <v>40</v>
      </c>
      <c r="C259" s="17" t="s">
        <v>17</v>
      </c>
      <c r="D259" s="17" t="s">
        <v>13</v>
      </c>
      <c r="E259" s="16">
        <v>292</v>
      </c>
      <c r="F259" s="18">
        <v>299</v>
      </c>
      <c r="G259" s="19">
        <v>87308</v>
      </c>
      <c r="H259" s="19">
        <v>86392</v>
      </c>
    </row>
    <row r="260" spans="1:8" x14ac:dyDescent="0.25">
      <c r="A260" s="20" t="s">
        <v>39</v>
      </c>
      <c r="B260" s="20" t="s">
        <v>40</v>
      </c>
      <c r="C260" s="21" t="s">
        <v>17</v>
      </c>
      <c r="D260" s="21" t="s">
        <v>14</v>
      </c>
      <c r="E260" s="20">
        <v>115</v>
      </c>
      <c r="F260" s="22">
        <v>1999</v>
      </c>
      <c r="G260" s="23">
        <v>229885</v>
      </c>
      <c r="H260" s="23">
        <v>220843</v>
      </c>
    </row>
    <row r="261" spans="1:8" x14ac:dyDescent="0.25">
      <c r="A261" s="16" t="s">
        <v>39</v>
      </c>
      <c r="B261" s="16" t="s">
        <v>40</v>
      </c>
      <c r="C261" s="17" t="s">
        <v>17</v>
      </c>
      <c r="D261" s="17" t="s">
        <v>15</v>
      </c>
      <c r="E261" s="16">
        <v>205</v>
      </c>
      <c r="F261" s="18">
        <v>999</v>
      </c>
      <c r="G261" s="19">
        <v>204795</v>
      </c>
      <c r="H261" s="19">
        <v>233286</v>
      </c>
    </row>
    <row r="262" spans="1:8" x14ac:dyDescent="0.25">
      <c r="A262" s="20" t="s">
        <v>39</v>
      </c>
      <c r="B262" s="20" t="s">
        <v>40</v>
      </c>
      <c r="C262" s="21" t="s">
        <v>17</v>
      </c>
      <c r="D262" s="21" t="s">
        <v>16</v>
      </c>
      <c r="E262" s="20">
        <v>233</v>
      </c>
      <c r="F262" s="22">
        <v>199</v>
      </c>
      <c r="G262" s="23">
        <v>46367</v>
      </c>
      <c r="H262" s="23">
        <v>50231</v>
      </c>
    </row>
    <row r="263" spans="1:8" x14ac:dyDescent="0.25">
      <c r="A263" s="16" t="s">
        <v>39</v>
      </c>
      <c r="B263" s="16" t="s">
        <v>40</v>
      </c>
      <c r="C263" s="17" t="s">
        <v>18</v>
      </c>
      <c r="D263" s="17" t="s">
        <v>12</v>
      </c>
      <c r="E263" s="16">
        <v>91</v>
      </c>
      <c r="F263" s="18">
        <v>499</v>
      </c>
      <c r="G263" s="19">
        <v>45409</v>
      </c>
      <c r="H263" s="19">
        <v>40070</v>
      </c>
    </row>
    <row r="264" spans="1:8" x14ac:dyDescent="0.25">
      <c r="A264" s="20" t="s">
        <v>39</v>
      </c>
      <c r="B264" s="20" t="s">
        <v>40</v>
      </c>
      <c r="C264" s="21" t="s">
        <v>18</v>
      </c>
      <c r="D264" s="21" t="s">
        <v>13</v>
      </c>
      <c r="E264" s="20">
        <v>56</v>
      </c>
      <c r="F264" s="22">
        <v>499</v>
      </c>
      <c r="G264" s="23">
        <v>27944</v>
      </c>
      <c r="H264" s="23">
        <v>28579</v>
      </c>
    </row>
    <row r="265" spans="1:8" x14ac:dyDescent="0.25">
      <c r="A265" s="16" t="s">
        <v>39</v>
      </c>
      <c r="B265" s="16" t="s">
        <v>40</v>
      </c>
      <c r="C265" s="17" t="s">
        <v>18</v>
      </c>
      <c r="D265" s="17" t="s">
        <v>14</v>
      </c>
      <c r="E265" s="16">
        <v>282</v>
      </c>
      <c r="F265" s="18">
        <v>799</v>
      </c>
      <c r="G265" s="19">
        <v>225318</v>
      </c>
      <c r="H265" s="19">
        <v>218332</v>
      </c>
    </row>
    <row r="266" spans="1:8" x14ac:dyDescent="0.25">
      <c r="A266" s="20" t="s">
        <v>39</v>
      </c>
      <c r="B266" s="20" t="s">
        <v>40</v>
      </c>
      <c r="C266" s="21" t="s">
        <v>18</v>
      </c>
      <c r="D266" s="21" t="s">
        <v>15</v>
      </c>
      <c r="E266" s="20">
        <v>233</v>
      </c>
      <c r="F266" s="22">
        <v>299</v>
      </c>
      <c r="G266" s="23">
        <v>69667</v>
      </c>
      <c r="H266" s="23">
        <v>60805</v>
      </c>
    </row>
    <row r="267" spans="1:8" x14ac:dyDescent="0.25">
      <c r="A267" s="16" t="s">
        <v>39</v>
      </c>
      <c r="B267" s="16" t="s">
        <v>40</v>
      </c>
      <c r="C267" s="17" t="s">
        <v>18</v>
      </c>
      <c r="D267" s="17" t="s">
        <v>16</v>
      </c>
      <c r="E267" s="16">
        <v>226</v>
      </c>
      <c r="F267" s="18">
        <v>1999</v>
      </c>
      <c r="G267" s="19">
        <v>451774</v>
      </c>
      <c r="H267" s="19">
        <v>469019</v>
      </c>
    </row>
    <row r="268" spans="1:8" x14ac:dyDescent="0.25">
      <c r="A268" s="20" t="s">
        <v>39</v>
      </c>
      <c r="B268" s="20" t="s">
        <v>40</v>
      </c>
      <c r="C268" s="21" t="s">
        <v>19</v>
      </c>
      <c r="D268" s="21" t="s">
        <v>12</v>
      </c>
      <c r="E268" s="20">
        <v>76</v>
      </c>
      <c r="F268" s="22">
        <v>1499</v>
      </c>
      <c r="G268" s="23">
        <v>113924</v>
      </c>
      <c r="H268" s="23">
        <v>123236</v>
      </c>
    </row>
    <row r="269" spans="1:8" x14ac:dyDescent="0.25">
      <c r="A269" s="16" t="s">
        <v>39</v>
      </c>
      <c r="B269" s="16" t="s">
        <v>40</v>
      </c>
      <c r="C269" s="17" t="s">
        <v>19</v>
      </c>
      <c r="D269" s="17" t="s">
        <v>13</v>
      </c>
      <c r="E269" s="16">
        <v>267</v>
      </c>
      <c r="F269" s="18">
        <v>1499</v>
      </c>
      <c r="G269" s="19">
        <v>400233</v>
      </c>
      <c r="H269" s="19">
        <v>412289</v>
      </c>
    </row>
    <row r="270" spans="1:8" x14ac:dyDescent="0.25">
      <c r="A270" s="20" t="s">
        <v>39</v>
      </c>
      <c r="B270" s="20" t="s">
        <v>40</v>
      </c>
      <c r="C270" s="21" t="s">
        <v>19</v>
      </c>
      <c r="D270" s="21" t="s">
        <v>14</v>
      </c>
      <c r="E270" s="20">
        <v>80</v>
      </c>
      <c r="F270" s="22">
        <v>1999</v>
      </c>
      <c r="G270" s="23">
        <v>159920</v>
      </c>
      <c r="H270" s="23">
        <v>183132</v>
      </c>
    </row>
    <row r="271" spans="1:8" x14ac:dyDescent="0.25">
      <c r="A271" s="16" t="s">
        <v>39</v>
      </c>
      <c r="B271" s="16" t="s">
        <v>40</v>
      </c>
      <c r="C271" s="17" t="s">
        <v>19</v>
      </c>
      <c r="D271" s="17" t="s">
        <v>15</v>
      </c>
      <c r="E271" s="16">
        <v>250</v>
      </c>
      <c r="F271" s="18">
        <v>199</v>
      </c>
      <c r="G271" s="19">
        <v>49750</v>
      </c>
      <c r="H271" s="19">
        <v>47469</v>
      </c>
    </row>
    <row r="272" spans="1:8" x14ac:dyDescent="0.25">
      <c r="A272" s="20" t="s">
        <v>39</v>
      </c>
      <c r="B272" s="20" t="s">
        <v>40</v>
      </c>
      <c r="C272" s="21" t="s">
        <v>19</v>
      </c>
      <c r="D272" s="21" t="s">
        <v>16</v>
      </c>
      <c r="E272" s="20">
        <v>159</v>
      </c>
      <c r="F272" s="22">
        <v>1499</v>
      </c>
      <c r="G272" s="23">
        <v>238341</v>
      </c>
      <c r="H272" s="23">
        <v>229086</v>
      </c>
    </row>
    <row r="273" spans="1:8" x14ac:dyDescent="0.25">
      <c r="A273" s="16" t="s">
        <v>39</v>
      </c>
      <c r="B273" s="16" t="s">
        <v>40</v>
      </c>
      <c r="C273" s="17" t="s">
        <v>20</v>
      </c>
      <c r="D273" s="17" t="s">
        <v>12</v>
      </c>
      <c r="E273" s="16">
        <v>179</v>
      </c>
      <c r="F273" s="18">
        <v>1499</v>
      </c>
      <c r="G273" s="19">
        <v>268321</v>
      </c>
      <c r="H273" s="19">
        <v>255540</v>
      </c>
    </row>
    <row r="274" spans="1:8" x14ac:dyDescent="0.25">
      <c r="A274" s="20" t="s">
        <v>39</v>
      </c>
      <c r="B274" s="20" t="s">
        <v>40</v>
      </c>
      <c r="C274" s="21" t="s">
        <v>20</v>
      </c>
      <c r="D274" s="21" t="s">
        <v>13</v>
      </c>
      <c r="E274" s="20">
        <v>267</v>
      </c>
      <c r="F274" s="22">
        <v>799</v>
      </c>
      <c r="G274" s="23">
        <v>213333</v>
      </c>
      <c r="H274" s="23">
        <v>233962</v>
      </c>
    </row>
    <row r="275" spans="1:8" x14ac:dyDescent="0.25">
      <c r="A275" s="16" t="s">
        <v>39</v>
      </c>
      <c r="B275" s="16" t="s">
        <v>40</v>
      </c>
      <c r="C275" s="17" t="s">
        <v>20</v>
      </c>
      <c r="D275" s="17" t="s">
        <v>14</v>
      </c>
      <c r="E275" s="16">
        <v>77</v>
      </c>
      <c r="F275" s="18">
        <v>799</v>
      </c>
      <c r="G275" s="19">
        <v>61523</v>
      </c>
      <c r="H275" s="19">
        <v>70027</v>
      </c>
    </row>
    <row r="276" spans="1:8" x14ac:dyDescent="0.25">
      <c r="A276" s="20" t="s">
        <v>39</v>
      </c>
      <c r="B276" s="20" t="s">
        <v>40</v>
      </c>
      <c r="C276" s="21" t="s">
        <v>20</v>
      </c>
      <c r="D276" s="21" t="s">
        <v>15</v>
      </c>
      <c r="E276" s="20">
        <v>212</v>
      </c>
      <c r="F276" s="22">
        <v>1999</v>
      </c>
      <c r="G276" s="23">
        <v>423788</v>
      </c>
      <c r="H276" s="23">
        <v>418669</v>
      </c>
    </row>
    <row r="277" spans="1:8" x14ac:dyDescent="0.25">
      <c r="A277" s="16" t="s">
        <v>39</v>
      </c>
      <c r="B277" s="16" t="s">
        <v>40</v>
      </c>
      <c r="C277" s="17" t="s">
        <v>20</v>
      </c>
      <c r="D277" s="17" t="s">
        <v>16</v>
      </c>
      <c r="E277" s="16">
        <v>89</v>
      </c>
      <c r="F277" s="18">
        <v>799</v>
      </c>
      <c r="G277" s="19">
        <v>71111</v>
      </c>
      <c r="H277" s="19">
        <v>64201</v>
      </c>
    </row>
    <row r="278" spans="1:8" x14ac:dyDescent="0.25">
      <c r="A278" s="20" t="s">
        <v>41</v>
      </c>
      <c r="B278" s="20" t="s">
        <v>42</v>
      </c>
      <c r="C278" s="21" t="s">
        <v>11</v>
      </c>
      <c r="D278" s="21" t="s">
        <v>12</v>
      </c>
      <c r="E278" s="20">
        <v>183</v>
      </c>
      <c r="F278" s="22">
        <v>1499</v>
      </c>
      <c r="G278" s="23">
        <v>274317</v>
      </c>
      <c r="H278" s="23">
        <v>255395</v>
      </c>
    </row>
    <row r="279" spans="1:8" x14ac:dyDescent="0.25">
      <c r="A279" s="16" t="s">
        <v>41</v>
      </c>
      <c r="B279" s="16" t="s">
        <v>42</v>
      </c>
      <c r="C279" s="17" t="s">
        <v>11</v>
      </c>
      <c r="D279" s="17" t="s">
        <v>13</v>
      </c>
      <c r="E279" s="16">
        <v>256</v>
      </c>
      <c r="F279" s="18">
        <v>999</v>
      </c>
      <c r="G279" s="19">
        <v>255744</v>
      </c>
      <c r="H279" s="19">
        <v>276815</v>
      </c>
    </row>
    <row r="280" spans="1:8" x14ac:dyDescent="0.25">
      <c r="A280" s="20" t="s">
        <v>41</v>
      </c>
      <c r="B280" s="20" t="s">
        <v>42</v>
      </c>
      <c r="C280" s="21" t="s">
        <v>11</v>
      </c>
      <c r="D280" s="21" t="s">
        <v>14</v>
      </c>
      <c r="E280" s="20">
        <v>169</v>
      </c>
      <c r="F280" s="22">
        <v>799</v>
      </c>
      <c r="G280" s="23">
        <v>135031</v>
      </c>
      <c r="H280" s="23">
        <v>148226</v>
      </c>
    </row>
    <row r="281" spans="1:8" x14ac:dyDescent="0.25">
      <c r="A281" s="16" t="s">
        <v>41</v>
      </c>
      <c r="B281" s="16" t="s">
        <v>42</v>
      </c>
      <c r="C281" s="17" t="s">
        <v>11</v>
      </c>
      <c r="D281" s="17" t="s">
        <v>15</v>
      </c>
      <c r="E281" s="16">
        <v>201</v>
      </c>
      <c r="F281" s="18">
        <v>499</v>
      </c>
      <c r="G281" s="19">
        <v>100299</v>
      </c>
      <c r="H281" s="19">
        <v>94952</v>
      </c>
    </row>
    <row r="282" spans="1:8" x14ac:dyDescent="0.25">
      <c r="A282" s="20" t="s">
        <v>41</v>
      </c>
      <c r="B282" s="20" t="s">
        <v>42</v>
      </c>
      <c r="C282" s="21" t="s">
        <v>11</v>
      </c>
      <c r="D282" s="21" t="s">
        <v>16</v>
      </c>
      <c r="E282" s="20">
        <v>112</v>
      </c>
      <c r="F282" s="22">
        <v>1999</v>
      </c>
      <c r="G282" s="23">
        <v>223888</v>
      </c>
      <c r="H282" s="23">
        <v>253079</v>
      </c>
    </row>
    <row r="283" spans="1:8" x14ac:dyDescent="0.25">
      <c r="A283" s="16" t="s">
        <v>41</v>
      </c>
      <c r="B283" s="16" t="s">
        <v>42</v>
      </c>
      <c r="C283" s="17" t="s">
        <v>17</v>
      </c>
      <c r="D283" s="17" t="s">
        <v>12</v>
      </c>
      <c r="E283" s="16">
        <v>121</v>
      </c>
      <c r="F283" s="18">
        <v>799</v>
      </c>
      <c r="G283" s="19">
        <v>96679</v>
      </c>
      <c r="H283" s="19">
        <v>89250</v>
      </c>
    </row>
    <row r="284" spans="1:8" x14ac:dyDescent="0.25">
      <c r="A284" s="20" t="s">
        <v>41</v>
      </c>
      <c r="B284" s="20" t="s">
        <v>42</v>
      </c>
      <c r="C284" s="21" t="s">
        <v>17</v>
      </c>
      <c r="D284" s="21" t="s">
        <v>13</v>
      </c>
      <c r="E284" s="20">
        <v>168</v>
      </c>
      <c r="F284" s="22">
        <v>999</v>
      </c>
      <c r="G284" s="23">
        <v>167832</v>
      </c>
      <c r="H284" s="23">
        <v>173387</v>
      </c>
    </row>
    <row r="285" spans="1:8" x14ac:dyDescent="0.25">
      <c r="A285" s="16" t="s">
        <v>41</v>
      </c>
      <c r="B285" s="16" t="s">
        <v>42</v>
      </c>
      <c r="C285" s="17" t="s">
        <v>17</v>
      </c>
      <c r="D285" s="17" t="s">
        <v>14</v>
      </c>
      <c r="E285" s="16">
        <v>147</v>
      </c>
      <c r="F285" s="18">
        <v>499</v>
      </c>
      <c r="G285" s="19">
        <v>73353</v>
      </c>
      <c r="H285" s="19">
        <v>62981</v>
      </c>
    </row>
    <row r="286" spans="1:8" x14ac:dyDescent="0.25">
      <c r="A286" s="20" t="s">
        <v>41</v>
      </c>
      <c r="B286" s="20" t="s">
        <v>42</v>
      </c>
      <c r="C286" s="21" t="s">
        <v>17</v>
      </c>
      <c r="D286" s="21" t="s">
        <v>15</v>
      </c>
      <c r="E286" s="20">
        <v>267</v>
      </c>
      <c r="F286" s="22">
        <v>499</v>
      </c>
      <c r="G286" s="23">
        <v>133233</v>
      </c>
      <c r="H286" s="23">
        <v>120516</v>
      </c>
    </row>
    <row r="287" spans="1:8" x14ac:dyDescent="0.25">
      <c r="A287" s="16" t="s">
        <v>41</v>
      </c>
      <c r="B287" s="16" t="s">
        <v>42</v>
      </c>
      <c r="C287" s="17" t="s">
        <v>17</v>
      </c>
      <c r="D287" s="17" t="s">
        <v>16</v>
      </c>
      <c r="E287" s="16">
        <v>104</v>
      </c>
      <c r="F287" s="18">
        <v>499</v>
      </c>
      <c r="G287" s="19">
        <v>51896</v>
      </c>
      <c r="H287" s="19">
        <v>56532</v>
      </c>
    </row>
    <row r="288" spans="1:8" x14ac:dyDescent="0.25">
      <c r="A288" s="20" t="s">
        <v>41</v>
      </c>
      <c r="B288" s="20" t="s">
        <v>42</v>
      </c>
      <c r="C288" s="21" t="s">
        <v>18</v>
      </c>
      <c r="D288" s="21" t="s">
        <v>12</v>
      </c>
      <c r="E288" s="20">
        <v>137</v>
      </c>
      <c r="F288" s="22">
        <v>499</v>
      </c>
      <c r="G288" s="23">
        <v>68363</v>
      </c>
      <c r="H288" s="23">
        <v>76162</v>
      </c>
    </row>
    <row r="289" spans="1:8" x14ac:dyDescent="0.25">
      <c r="A289" s="16" t="s">
        <v>41</v>
      </c>
      <c r="B289" s="16" t="s">
        <v>42</v>
      </c>
      <c r="C289" s="17" t="s">
        <v>18</v>
      </c>
      <c r="D289" s="17" t="s">
        <v>13</v>
      </c>
      <c r="E289" s="16">
        <v>229</v>
      </c>
      <c r="F289" s="18">
        <v>499</v>
      </c>
      <c r="G289" s="19">
        <v>114271</v>
      </c>
      <c r="H289" s="19">
        <v>116183</v>
      </c>
    </row>
    <row r="290" spans="1:8" x14ac:dyDescent="0.25">
      <c r="A290" s="20" t="s">
        <v>41</v>
      </c>
      <c r="B290" s="20" t="s">
        <v>42</v>
      </c>
      <c r="C290" s="21" t="s">
        <v>18</v>
      </c>
      <c r="D290" s="21" t="s">
        <v>14</v>
      </c>
      <c r="E290" s="20">
        <v>182</v>
      </c>
      <c r="F290" s="22">
        <v>299</v>
      </c>
      <c r="G290" s="23">
        <v>54418</v>
      </c>
      <c r="H290" s="23">
        <v>47652</v>
      </c>
    </row>
    <row r="291" spans="1:8" x14ac:dyDescent="0.25">
      <c r="A291" s="16" t="s">
        <v>41</v>
      </c>
      <c r="B291" s="16" t="s">
        <v>42</v>
      </c>
      <c r="C291" s="17" t="s">
        <v>18</v>
      </c>
      <c r="D291" s="17" t="s">
        <v>15</v>
      </c>
      <c r="E291" s="16">
        <v>234</v>
      </c>
      <c r="F291" s="18">
        <v>799</v>
      </c>
      <c r="G291" s="19">
        <v>186966</v>
      </c>
      <c r="H291" s="19">
        <v>186325</v>
      </c>
    </row>
    <row r="292" spans="1:8" x14ac:dyDescent="0.25">
      <c r="A292" s="20" t="s">
        <v>41</v>
      </c>
      <c r="B292" s="20" t="s">
        <v>42</v>
      </c>
      <c r="C292" s="21" t="s">
        <v>18</v>
      </c>
      <c r="D292" s="21" t="s">
        <v>16</v>
      </c>
      <c r="E292" s="20">
        <v>244</v>
      </c>
      <c r="F292" s="22">
        <v>299</v>
      </c>
      <c r="G292" s="23">
        <v>72956</v>
      </c>
      <c r="H292" s="23">
        <v>77127</v>
      </c>
    </row>
    <row r="293" spans="1:8" x14ac:dyDescent="0.25">
      <c r="A293" s="16" t="s">
        <v>41</v>
      </c>
      <c r="B293" s="16" t="s">
        <v>42</v>
      </c>
      <c r="C293" s="17" t="s">
        <v>19</v>
      </c>
      <c r="D293" s="17" t="s">
        <v>12</v>
      </c>
      <c r="E293" s="16">
        <v>215</v>
      </c>
      <c r="F293" s="18">
        <v>1499</v>
      </c>
      <c r="G293" s="19">
        <v>322285</v>
      </c>
      <c r="H293" s="19">
        <v>321397</v>
      </c>
    </row>
    <row r="294" spans="1:8" x14ac:dyDescent="0.25">
      <c r="A294" s="20" t="s">
        <v>41</v>
      </c>
      <c r="B294" s="20" t="s">
        <v>42</v>
      </c>
      <c r="C294" s="21" t="s">
        <v>19</v>
      </c>
      <c r="D294" s="21" t="s">
        <v>13</v>
      </c>
      <c r="E294" s="20">
        <v>252</v>
      </c>
      <c r="F294" s="22">
        <v>199</v>
      </c>
      <c r="G294" s="23">
        <v>50148</v>
      </c>
      <c r="H294" s="23">
        <v>44025</v>
      </c>
    </row>
    <row r="295" spans="1:8" x14ac:dyDescent="0.25">
      <c r="A295" s="16" t="s">
        <v>41</v>
      </c>
      <c r="B295" s="16" t="s">
        <v>42</v>
      </c>
      <c r="C295" s="17" t="s">
        <v>19</v>
      </c>
      <c r="D295" s="17" t="s">
        <v>14</v>
      </c>
      <c r="E295" s="16">
        <v>106</v>
      </c>
      <c r="F295" s="18">
        <v>799</v>
      </c>
      <c r="G295" s="19">
        <v>84694</v>
      </c>
      <c r="H295" s="19">
        <v>89566</v>
      </c>
    </row>
    <row r="296" spans="1:8" x14ac:dyDescent="0.25">
      <c r="A296" s="20" t="s">
        <v>41</v>
      </c>
      <c r="B296" s="20" t="s">
        <v>42</v>
      </c>
      <c r="C296" s="21" t="s">
        <v>19</v>
      </c>
      <c r="D296" s="21" t="s">
        <v>15</v>
      </c>
      <c r="E296" s="20">
        <v>128</v>
      </c>
      <c r="F296" s="22">
        <v>1499</v>
      </c>
      <c r="G296" s="23">
        <v>191872</v>
      </c>
      <c r="H296" s="23">
        <v>196566</v>
      </c>
    </row>
    <row r="297" spans="1:8" x14ac:dyDescent="0.25">
      <c r="A297" s="16" t="s">
        <v>41</v>
      </c>
      <c r="B297" s="16" t="s">
        <v>42</v>
      </c>
      <c r="C297" s="17" t="s">
        <v>19</v>
      </c>
      <c r="D297" s="17" t="s">
        <v>16</v>
      </c>
      <c r="E297" s="16">
        <v>171</v>
      </c>
      <c r="F297" s="18">
        <v>999</v>
      </c>
      <c r="G297" s="19">
        <v>170829</v>
      </c>
      <c r="H297" s="19">
        <v>172413</v>
      </c>
    </row>
    <row r="298" spans="1:8" x14ac:dyDescent="0.25">
      <c r="A298" s="20" t="s">
        <v>41</v>
      </c>
      <c r="B298" s="20" t="s">
        <v>42</v>
      </c>
      <c r="C298" s="21" t="s">
        <v>20</v>
      </c>
      <c r="D298" s="21" t="s">
        <v>12</v>
      </c>
      <c r="E298" s="20">
        <v>158</v>
      </c>
      <c r="F298" s="22">
        <v>1499</v>
      </c>
      <c r="G298" s="23">
        <v>236842</v>
      </c>
      <c r="H298" s="23">
        <v>240422</v>
      </c>
    </row>
    <row r="299" spans="1:8" x14ac:dyDescent="0.25">
      <c r="A299" s="16" t="s">
        <v>41</v>
      </c>
      <c r="B299" s="16" t="s">
        <v>42</v>
      </c>
      <c r="C299" s="17" t="s">
        <v>20</v>
      </c>
      <c r="D299" s="17" t="s">
        <v>13</v>
      </c>
      <c r="E299" s="16">
        <v>140</v>
      </c>
      <c r="F299" s="18">
        <v>1499</v>
      </c>
      <c r="G299" s="19">
        <v>209860</v>
      </c>
      <c r="H299" s="19">
        <v>206947</v>
      </c>
    </row>
    <row r="300" spans="1:8" x14ac:dyDescent="0.25">
      <c r="A300" s="20" t="s">
        <v>41</v>
      </c>
      <c r="B300" s="20" t="s">
        <v>42</v>
      </c>
      <c r="C300" s="21" t="s">
        <v>20</v>
      </c>
      <c r="D300" s="21" t="s">
        <v>14</v>
      </c>
      <c r="E300" s="20">
        <v>128</v>
      </c>
      <c r="F300" s="22">
        <v>499</v>
      </c>
      <c r="G300" s="23">
        <v>63872</v>
      </c>
      <c r="H300" s="23">
        <v>58708</v>
      </c>
    </row>
    <row r="301" spans="1:8" x14ac:dyDescent="0.25">
      <c r="A301" s="16" t="s">
        <v>41</v>
      </c>
      <c r="B301" s="16" t="s">
        <v>42</v>
      </c>
      <c r="C301" s="17" t="s">
        <v>20</v>
      </c>
      <c r="D301" s="17" t="s">
        <v>15</v>
      </c>
      <c r="E301" s="16">
        <v>234</v>
      </c>
      <c r="F301" s="18">
        <v>299</v>
      </c>
      <c r="G301" s="19">
        <v>69966</v>
      </c>
      <c r="H301" s="19">
        <v>66094</v>
      </c>
    </row>
    <row r="302" spans="1:8" x14ac:dyDescent="0.25">
      <c r="A302" s="50" t="s">
        <v>41</v>
      </c>
      <c r="B302" s="50" t="s">
        <v>42</v>
      </c>
      <c r="C302" s="51" t="s">
        <v>20</v>
      </c>
      <c r="D302" s="51" t="s">
        <v>16</v>
      </c>
      <c r="E302" s="50">
        <v>240</v>
      </c>
      <c r="F302" s="52">
        <v>999</v>
      </c>
      <c r="G302" s="53">
        <v>239760</v>
      </c>
      <c r="H302" s="53">
        <v>272190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abSelected="1" zoomScale="85" zoomScaleNormal="85" workbookViewId="0">
      <selection activeCell="D8" sqref="D8"/>
    </sheetView>
  </sheetViews>
  <sheetFormatPr defaultColWidth="8.7109375" defaultRowHeight="15" x14ac:dyDescent="0.25"/>
  <cols>
    <col min="1" max="1" width="15" customWidth="1"/>
    <col min="2" max="3" width="20" customWidth="1"/>
    <col min="4" max="4" width="16" customWidth="1"/>
    <col min="5" max="5" width="15" customWidth="1"/>
    <col min="6" max="6" width="14" customWidth="1"/>
    <col min="7" max="7" width="20" customWidth="1"/>
    <col min="8" max="8" width="18" customWidth="1"/>
  </cols>
  <sheetData>
    <row r="1" spans="1:8" ht="31.5" customHeight="1" x14ac:dyDescent="0.25">
      <c r="A1" s="13" t="s">
        <v>43</v>
      </c>
      <c r="B1" s="13"/>
      <c r="C1" s="13"/>
      <c r="D1" s="13"/>
      <c r="E1" s="13"/>
      <c r="F1" s="13"/>
      <c r="G1" s="13"/>
      <c r="H1" s="13"/>
    </row>
    <row r="2" spans="1:8" ht="18" customHeight="1" x14ac:dyDescent="0.25">
      <c r="A2" s="12" t="s">
        <v>44</v>
      </c>
      <c r="B2" s="12"/>
      <c r="C2" s="12"/>
      <c r="D2" s="12"/>
      <c r="E2" s="12"/>
      <c r="F2" s="12"/>
      <c r="G2" s="12"/>
      <c r="H2" s="12"/>
    </row>
    <row r="4" spans="1:8" ht="21.75" customHeight="1" x14ac:dyDescent="0.25">
      <c r="A4" s="15" t="s">
        <v>2</v>
      </c>
      <c r="B4" s="15" t="s">
        <v>7</v>
      </c>
      <c r="C4" s="15" t="s">
        <v>8</v>
      </c>
      <c r="D4" s="15" t="s">
        <v>45</v>
      </c>
      <c r="E4" s="15" t="s">
        <v>46</v>
      </c>
      <c r="F4" s="15" t="s">
        <v>5</v>
      </c>
      <c r="G4" s="15" t="s">
        <v>47</v>
      </c>
      <c r="H4" s="15" t="s">
        <v>48</v>
      </c>
    </row>
    <row r="5" spans="1:8" ht="19.5" customHeight="1" x14ac:dyDescent="0.25">
      <c r="A5" s="25" t="s">
        <v>10</v>
      </c>
      <c r="B5" s="26">
        <f>SUMIF('Raw Data'!B:B,A5,'Raw Data'!G:G)</f>
        <v>3900010</v>
      </c>
      <c r="C5" s="26">
        <f>SUMIF('Raw Data'!B:B,A5,'Raw Data'!H:H)</f>
        <v>3719925</v>
      </c>
      <c r="D5" s="27">
        <f t="shared" ref="D5:D17" si="0">IFERROR(B5/C5,0)</f>
        <v>1.0484109222632176</v>
      </c>
      <c r="E5" s="27" t="s">
        <v>49</v>
      </c>
      <c r="F5" s="26">
        <f>SUMIF('Raw Data'!B:B,A5,'Raw Data'!E:E)</f>
        <v>4590</v>
      </c>
      <c r="G5" s="26">
        <f t="shared" ref="G5:G17" si="1">IFERROR(B5/F5,0)</f>
        <v>849.6753812636166</v>
      </c>
      <c r="H5" s="28" t="str">
        <f t="shared" ref="H5:H16" si="2">IF(D5&gt;=1,"✅ Achieved","⚠️ Below Target")</f>
        <v>✅ Achieved</v>
      </c>
    </row>
    <row r="6" spans="1:8" ht="19.5" customHeight="1" x14ac:dyDescent="0.25">
      <c r="A6" s="25" t="s">
        <v>22</v>
      </c>
      <c r="B6" s="29">
        <f>SUMIF('Raw Data'!B:B,A6,'Raw Data'!G:G)</f>
        <v>4124991</v>
      </c>
      <c r="C6" s="29">
        <f>SUMIF('Raw Data'!B:B,A6,'Raw Data'!H:H)</f>
        <v>4118669</v>
      </c>
      <c r="D6" s="30">
        <f t="shared" si="0"/>
        <v>1.001534961901527</v>
      </c>
      <c r="E6" s="30">
        <f t="shared" ref="E6:E16" si="3">IFERROR((B6-B5)/B5,0)</f>
        <v>5.7687287981312868E-2</v>
      </c>
      <c r="F6" s="29">
        <f>SUMIF('Raw Data'!B:B,A6,'Raw Data'!E:E)</f>
        <v>4309</v>
      </c>
      <c r="G6" s="29">
        <f t="shared" si="1"/>
        <v>957.29658853562307</v>
      </c>
      <c r="H6" s="31" t="str">
        <f t="shared" si="2"/>
        <v>✅ Achieved</v>
      </c>
    </row>
    <row r="7" spans="1:8" ht="19.5" customHeight="1" x14ac:dyDescent="0.25">
      <c r="A7" s="25" t="s">
        <v>24</v>
      </c>
      <c r="B7" s="26">
        <f>SUMIF('Raw Data'!B:B,A7,'Raw Data'!G:G)</f>
        <v>3987163</v>
      </c>
      <c r="C7" s="26">
        <f>SUMIF('Raw Data'!B:B,A7,'Raw Data'!H:H)</f>
        <v>3985593</v>
      </c>
      <c r="D7" s="27">
        <f t="shared" si="0"/>
        <v>1.0003939187970272</v>
      </c>
      <c r="E7" s="27">
        <f t="shared" si="3"/>
        <v>-3.3412921385767874E-2</v>
      </c>
      <c r="F7" s="26">
        <f>SUMIF('Raw Data'!B:B,A7,'Raw Data'!E:E)</f>
        <v>4437</v>
      </c>
      <c r="G7" s="26">
        <f t="shared" si="1"/>
        <v>898.61685823754794</v>
      </c>
      <c r="H7" s="28" t="str">
        <f t="shared" si="2"/>
        <v>✅ Achieved</v>
      </c>
    </row>
    <row r="8" spans="1:8" ht="19.5" customHeight="1" x14ac:dyDescent="0.25">
      <c r="A8" s="25" t="s">
        <v>26</v>
      </c>
      <c r="B8" s="29">
        <f>SUMIF('Raw Data'!B:B,A8,'Raw Data'!G:G)</f>
        <v>4072306</v>
      </c>
      <c r="C8" s="29">
        <f>SUMIF('Raw Data'!B:B,A8,'Raw Data'!H:H)</f>
        <v>4199450</v>
      </c>
      <c r="D8" s="30">
        <f t="shared" si="0"/>
        <v>0.96972365428806151</v>
      </c>
      <c r="E8" s="30">
        <f t="shared" si="3"/>
        <v>2.135428122702784E-2</v>
      </c>
      <c r="F8" s="29">
        <f>SUMIF('Raw Data'!B:B,A8,'Raw Data'!E:E)</f>
        <v>3994</v>
      </c>
      <c r="G8" s="29">
        <f t="shared" si="1"/>
        <v>1019.605908863295</v>
      </c>
      <c r="H8" s="31" t="str">
        <f t="shared" si="2"/>
        <v>⚠️ Below Target</v>
      </c>
    </row>
    <row r="9" spans="1:8" ht="19.5" customHeight="1" x14ac:dyDescent="0.25">
      <c r="A9" s="25" t="s">
        <v>28</v>
      </c>
      <c r="B9" s="26">
        <f>SUMIF('Raw Data'!B:B,A9,'Raw Data'!G:G)</f>
        <v>3515793</v>
      </c>
      <c r="C9" s="26">
        <f>SUMIF('Raw Data'!B:B,A9,'Raw Data'!H:H)</f>
        <v>3585945</v>
      </c>
      <c r="D9" s="27">
        <f t="shared" si="0"/>
        <v>0.98043695594885027</v>
      </c>
      <c r="E9" s="27">
        <f t="shared" si="3"/>
        <v>-0.13665795252124963</v>
      </c>
      <c r="F9" s="26">
        <f>SUMIF('Raw Data'!B:B,A9,'Raw Data'!E:E)</f>
        <v>3907</v>
      </c>
      <c r="G9" s="26">
        <f t="shared" si="1"/>
        <v>899.87023291528021</v>
      </c>
      <c r="H9" s="28" t="str">
        <f t="shared" si="2"/>
        <v>⚠️ Below Target</v>
      </c>
    </row>
    <row r="10" spans="1:8" ht="19.5" customHeight="1" x14ac:dyDescent="0.25">
      <c r="A10" s="25" t="s">
        <v>30</v>
      </c>
      <c r="B10" s="29">
        <f>SUMIF('Raw Data'!B:B,A10,'Raw Data'!G:G)</f>
        <v>4425759</v>
      </c>
      <c r="C10" s="29">
        <f>SUMIF('Raw Data'!B:B,A10,'Raw Data'!H:H)</f>
        <v>4303496</v>
      </c>
      <c r="D10" s="30">
        <f t="shared" si="0"/>
        <v>1.0284101576950462</v>
      </c>
      <c r="E10" s="30">
        <f t="shared" si="3"/>
        <v>0.2588224050733362</v>
      </c>
      <c r="F10" s="29">
        <f>SUMIF('Raw Data'!B:B,A10,'Raw Data'!E:E)</f>
        <v>4641</v>
      </c>
      <c r="G10" s="29">
        <f t="shared" si="1"/>
        <v>953.62184873949582</v>
      </c>
      <c r="H10" s="31" t="str">
        <f t="shared" si="2"/>
        <v>✅ Achieved</v>
      </c>
    </row>
    <row r="11" spans="1:8" ht="19.5" customHeight="1" x14ac:dyDescent="0.25">
      <c r="A11" s="25" t="s">
        <v>32</v>
      </c>
      <c r="B11" s="26">
        <f>SUMIF('Raw Data'!B:B,A11,'Raw Data'!G:G)</f>
        <v>4820268</v>
      </c>
      <c r="C11" s="26">
        <f>SUMIF('Raw Data'!B:B,A11,'Raw Data'!H:H)</f>
        <v>4786397</v>
      </c>
      <c r="D11" s="27">
        <f t="shared" si="0"/>
        <v>1.0070765128759691</v>
      </c>
      <c r="E11" s="27">
        <f t="shared" si="3"/>
        <v>8.9139286617278532E-2</v>
      </c>
      <c r="F11" s="26">
        <f>SUMIF('Raw Data'!B:B,A11,'Raw Data'!E:E)</f>
        <v>4632</v>
      </c>
      <c r="G11" s="26">
        <f t="shared" si="1"/>
        <v>1040.6450777202072</v>
      </c>
      <c r="H11" s="28" t="str">
        <f t="shared" si="2"/>
        <v>✅ Achieved</v>
      </c>
    </row>
    <row r="12" spans="1:8" ht="19.5" customHeight="1" x14ac:dyDescent="0.25">
      <c r="A12" s="25" t="s">
        <v>34</v>
      </c>
      <c r="B12" s="29">
        <f>SUMIF('Raw Data'!B:B,A12,'Raw Data'!G:G)</f>
        <v>4732567</v>
      </c>
      <c r="C12" s="29">
        <f>SUMIF('Raw Data'!B:B,A12,'Raw Data'!H:H)</f>
        <v>4762496</v>
      </c>
      <c r="D12" s="30">
        <f t="shared" si="0"/>
        <v>0.99371569025989737</v>
      </c>
      <c r="E12" s="30">
        <f t="shared" si="3"/>
        <v>-1.8194216587127519E-2</v>
      </c>
      <c r="F12" s="29">
        <f>SUMIF('Raw Data'!B:B,A12,'Raw Data'!E:E)</f>
        <v>4533</v>
      </c>
      <c r="G12" s="29">
        <f t="shared" si="1"/>
        <v>1044.0253695124641</v>
      </c>
      <c r="H12" s="31" t="str">
        <f t="shared" si="2"/>
        <v>⚠️ Below Target</v>
      </c>
    </row>
    <row r="13" spans="1:8" ht="19.5" customHeight="1" x14ac:dyDescent="0.25">
      <c r="A13" s="25" t="s">
        <v>36</v>
      </c>
      <c r="B13" s="26">
        <f>SUMIF('Raw Data'!B:B,A13,'Raw Data'!G:G)</f>
        <v>3688891</v>
      </c>
      <c r="C13" s="26">
        <f>SUMIF('Raw Data'!B:B,A13,'Raw Data'!H:H)</f>
        <v>3657718</v>
      </c>
      <c r="D13" s="27">
        <f t="shared" si="0"/>
        <v>1.0085225268869826</v>
      </c>
      <c r="E13" s="27">
        <f t="shared" si="3"/>
        <v>-0.22053063379768317</v>
      </c>
      <c r="F13" s="26">
        <f>SUMIF('Raw Data'!B:B,A13,'Raw Data'!E:E)</f>
        <v>4309</v>
      </c>
      <c r="G13" s="26">
        <f t="shared" si="1"/>
        <v>856.08981202135067</v>
      </c>
      <c r="H13" s="28" t="str">
        <f t="shared" si="2"/>
        <v>✅ Achieved</v>
      </c>
    </row>
    <row r="14" spans="1:8" ht="19.5" customHeight="1" x14ac:dyDescent="0.25">
      <c r="A14" s="25" t="s">
        <v>38</v>
      </c>
      <c r="B14" s="29">
        <f>SUMIF('Raw Data'!B:B,A14,'Raw Data'!G:G)</f>
        <v>3926202</v>
      </c>
      <c r="C14" s="29">
        <f>SUMIF('Raw Data'!B:B,A14,'Raw Data'!H:H)</f>
        <v>3937240</v>
      </c>
      <c r="D14" s="30">
        <f t="shared" si="0"/>
        <v>0.99719651329357617</v>
      </c>
      <c r="E14" s="30">
        <f t="shared" si="3"/>
        <v>6.4331258364641292E-2</v>
      </c>
      <c r="F14" s="29">
        <f>SUMIF('Raw Data'!B:B,A14,'Raw Data'!E:E)</f>
        <v>4398</v>
      </c>
      <c r="G14" s="29">
        <f t="shared" si="1"/>
        <v>892.72442019099594</v>
      </c>
      <c r="H14" s="31" t="str">
        <f t="shared" si="2"/>
        <v>⚠️ Below Target</v>
      </c>
    </row>
    <row r="15" spans="1:8" ht="19.5" customHeight="1" x14ac:dyDescent="0.25">
      <c r="A15" s="25" t="s">
        <v>40</v>
      </c>
      <c r="B15" s="26">
        <f>SUMIF('Raw Data'!B:B,A15,'Raw Data'!G:G)</f>
        <v>4141398</v>
      </c>
      <c r="C15" s="26">
        <f>SUMIF('Raw Data'!B:B,A15,'Raw Data'!H:H)</f>
        <v>4156139</v>
      </c>
      <c r="D15" s="27">
        <f t="shared" si="0"/>
        <v>0.996453198509482</v>
      </c>
      <c r="E15" s="27">
        <f t="shared" si="3"/>
        <v>5.4810221175578842E-2</v>
      </c>
      <c r="F15" s="26">
        <f>SUMIF('Raw Data'!B:B,A15,'Raw Data'!E:E)</f>
        <v>4302</v>
      </c>
      <c r="G15" s="26">
        <f t="shared" si="1"/>
        <v>962.66806136680611</v>
      </c>
      <c r="H15" s="28" t="str">
        <f t="shared" si="2"/>
        <v>⚠️ Below Target</v>
      </c>
    </row>
    <row r="16" spans="1:8" ht="19.5" customHeight="1" x14ac:dyDescent="0.25">
      <c r="A16" s="25" t="s">
        <v>42</v>
      </c>
      <c r="B16" s="29">
        <f>SUMIF('Raw Data'!B:B,A16,'Raw Data'!G:G)</f>
        <v>3649374</v>
      </c>
      <c r="C16" s="29">
        <f>SUMIF('Raw Data'!B:B,A16,'Raw Data'!H:H)</f>
        <v>3702910</v>
      </c>
      <c r="D16" s="30">
        <f t="shared" si="0"/>
        <v>0.98554218168953611</v>
      </c>
      <c r="E16" s="30">
        <f t="shared" si="3"/>
        <v>-0.11880625817658674</v>
      </c>
      <c r="F16" s="29">
        <f>SUMIF('Raw Data'!B:B,A16,'Raw Data'!E:E)</f>
        <v>4526</v>
      </c>
      <c r="G16" s="29">
        <f t="shared" si="1"/>
        <v>806.31330092797168</v>
      </c>
      <c r="H16" s="31" t="str">
        <f t="shared" si="2"/>
        <v>⚠️ Below Target</v>
      </c>
    </row>
    <row r="17" spans="1:8" ht="19.5" customHeight="1" x14ac:dyDescent="0.25">
      <c r="A17" s="32" t="s">
        <v>50</v>
      </c>
      <c r="B17" s="33">
        <f>SUM(B5:B16)</f>
        <v>48984722</v>
      </c>
      <c r="C17" s="33">
        <f>SUM(C5:C16)</f>
        <v>48915978</v>
      </c>
      <c r="D17" s="34">
        <f t="shared" si="0"/>
        <v>1.0014053485754695</v>
      </c>
      <c r="E17" s="34">
        <f>IFERROR((B16-B5)/B5,0)</f>
        <v>-6.4265476242368613E-2</v>
      </c>
      <c r="F17" s="33">
        <f>SUM(F5:F16)</f>
        <v>52578</v>
      </c>
      <c r="G17" s="33">
        <f t="shared" si="1"/>
        <v>931.65814599262046</v>
      </c>
      <c r="H17" s="32" t="str">
        <f>IF(D17&gt;=1,"✅ On Track","⚠️ Review")</f>
        <v>✅ On Track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zoomScaleNormal="100" workbookViewId="0">
      <selection sqref="A1:G1"/>
    </sheetView>
  </sheetViews>
  <sheetFormatPr defaultColWidth="8.7109375" defaultRowHeight="15" x14ac:dyDescent="0.25"/>
  <cols>
    <col min="1" max="1" width="22" customWidth="1"/>
    <col min="2" max="3" width="16" customWidth="1"/>
    <col min="4" max="5" width="14" customWidth="1"/>
    <col min="6" max="6" width="10" customWidth="1"/>
    <col min="7" max="7" width="14" customWidth="1"/>
  </cols>
  <sheetData>
    <row r="1" spans="1:7" ht="30" customHeight="1" x14ac:dyDescent="0.25">
      <c r="A1" s="13" t="s">
        <v>71</v>
      </c>
      <c r="B1" s="13"/>
      <c r="C1" s="13"/>
      <c r="D1" s="13"/>
      <c r="E1" s="13"/>
      <c r="F1" s="13"/>
      <c r="G1" s="13"/>
    </row>
    <row r="3" spans="1:7" x14ac:dyDescent="0.25">
      <c r="A3" s="15" t="s">
        <v>72</v>
      </c>
      <c r="B3" s="15" t="s">
        <v>73</v>
      </c>
      <c r="C3" s="15" t="s">
        <v>8</v>
      </c>
      <c r="D3" s="15" t="s">
        <v>45</v>
      </c>
      <c r="E3" s="15" t="s">
        <v>74</v>
      </c>
      <c r="F3" s="15" t="s">
        <v>75</v>
      </c>
      <c r="G3" s="15" t="s">
        <v>48</v>
      </c>
    </row>
    <row r="4" spans="1:7" x14ac:dyDescent="0.25">
      <c r="A4" s="28" t="s">
        <v>76</v>
      </c>
      <c r="B4" s="26">
        <v>1647203</v>
      </c>
      <c r="C4" s="26">
        <v>1600061</v>
      </c>
      <c r="D4" s="27">
        <f t="shared" ref="D4:D16" si="0">IFERROR(B4/C4,0)</f>
        <v>1.0294626267373557</v>
      </c>
      <c r="E4" s="28" t="s">
        <v>49</v>
      </c>
      <c r="F4" s="26">
        <v>383</v>
      </c>
      <c r="G4" s="28" t="str">
        <f t="shared" ref="G4:G16" si="1">IF(D4&gt;=1,"✅ On Track","⚠️ Below")</f>
        <v>✅ On Track</v>
      </c>
    </row>
    <row r="5" spans="1:7" x14ac:dyDescent="0.25">
      <c r="A5" s="31" t="s">
        <v>77</v>
      </c>
      <c r="B5" s="29">
        <v>1282895</v>
      </c>
      <c r="C5" s="29">
        <v>1205438</v>
      </c>
      <c r="D5" s="30">
        <f t="shared" si="0"/>
        <v>1.0642563118136312</v>
      </c>
      <c r="E5" s="30">
        <f t="shared" ref="E5:E15" si="2">IFERROR((B5-B4)/B4,0)</f>
        <v>-0.22116763993266161</v>
      </c>
      <c r="F5" s="29">
        <v>288</v>
      </c>
      <c r="G5" s="31" t="str">
        <f t="shared" si="1"/>
        <v>✅ On Track</v>
      </c>
    </row>
    <row r="6" spans="1:7" x14ac:dyDescent="0.25">
      <c r="A6" s="28" t="s">
        <v>78</v>
      </c>
      <c r="B6" s="26">
        <v>1326701</v>
      </c>
      <c r="C6" s="26">
        <v>1399626</v>
      </c>
      <c r="D6" s="27">
        <f t="shared" si="0"/>
        <v>0.94789679528674087</v>
      </c>
      <c r="E6" s="27">
        <f t="shared" si="2"/>
        <v>3.4146208380264949E-2</v>
      </c>
      <c r="F6" s="26">
        <v>743</v>
      </c>
      <c r="G6" s="28" t="str">
        <f t="shared" si="1"/>
        <v>⚠️ Below</v>
      </c>
    </row>
    <row r="7" spans="1:7" x14ac:dyDescent="0.25">
      <c r="A7" s="31" t="s">
        <v>79</v>
      </c>
      <c r="B7" s="29">
        <v>2235099</v>
      </c>
      <c r="C7" s="29">
        <v>2342645</v>
      </c>
      <c r="D7" s="30">
        <f t="shared" si="0"/>
        <v>0.95409206260444923</v>
      </c>
      <c r="E7" s="30">
        <f t="shared" si="2"/>
        <v>0.68470439081601653</v>
      </c>
      <c r="F7" s="29">
        <v>291</v>
      </c>
      <c r="G7" s="31" t="str">
        <f t="shared" si="1"/>
        <v>⚠️ Below</v>
      </c>
    </row>
    <row r="8" spans="1:7" x14ac:dyDescent="0.25">
      <c r="A8" s="28" t="s">
        <v>80</v>
      </c>
      <c r="B8" s="26">
        <v>2108454</v>
      </c>
      <c r="C8" s="26">
        <v>2103026</v>
      </c>
      <c r="D8" s="27">
        <f t="shared" si="0"/>
        <v>1.002581042745073</v>
      </c>
      <c r="E8" s="27">
        <f t="shared" si="2"/>
        <v>-5.666191967335675E-2</v>
      </c>
      <c r="F8" s="26">
        <v>631</v>
      </c>
      <c r="G8" s="28" t="str">
        <f t="shared" si="1"/>
        <v>✅ On Track</v>
      </c>
    </row>
    <row r="9" spans="1:7" x14ac:dyDescent="0.25">
      <c r="A9" s="31" t="s">
        <v>81</v>
      </c>
      <c r="B9" s="29">
        <v>2314616</v>
      </c>
      <c r="C9" s="29">
        <v>2377508</v>
      </c>
      <c r="D9" s="30">
        <f t="shared" si="0"/>
        <v>0.97354709216541013</v>
      </c>
      <c r="E9" s="30">
        <f t="shared" si="2"/>
        <v>9.7778751635084288E-2</v>
      </c>
      <c r="F9" s="29">
        <v>421</v>
      </c>
      <c r="G9" s="31" t="str">
        <f t="shared" si="1"/>
        <v>⚠️ Below</v>
      </c>
    </row>
    <row r="10" spans="1:7" x14ac:dyDescent="0.25">
      <c r="A10" s="28" t="s">
        <v>82</v>
      </c>
      <c r="B10" s="26">
        <v>2462232</v>
      </c>
      <c r="C10" s="26">
        <v>2699787</v>
      </c>
      <c r="D10" s="27">
        <f t="shared" si="0"/>
        <v>0.91200972521165558</v>
      </c>
      <c r="E10" s="27">
        <f t="shared" si="2"/>
        <v>6.3775589557835938E-2</v>
      </c>
      <c r="F10" s="26">
        <v>582</v>
      </c>
      <c r="G10" s="28" t="str">
        <f t="shared" si="1"/>
        <v>⚠️ Below</v>
      </c>
    </row>
    <row r="11" spans="1:7" x14ac:dyDescent="0.25">
      <c r="A11" s="31" t="s">
        <v>83</v>
      </c>
      <c r="B11" s="29">
        <v>1613929</v>
      </c>
      <c r="C11" s="29">
        <v>1753950</v>
      </c>
      <c r="D11" s="30">
        <f t="shared" si="0"/>
        <v>0.92016819179566123</v>
      </c>
      <c r="E11" s="30">
        <f t="shared" si="2"/>
        <v>-0.34452602354286682</v>
      </c>
      <c r="F11" s="29">
        <v>417</v>
      </c>
      <c r="G11" s="31" t="str">
        <f t="shared" si="1"/>
        <v>⚠️ Below</v>
      </c>
    </row>
    <row r="12" spans="1:7" x14ac:dyDescent="0.25">
      <c r="A12" s="28" t="s">
        <v>84</v>
      </c>
      <c r="B12" s="26">
        <v>1119347</v>
      </c>
      <c r="C12" s="26">
        <v>1108999</v>
      </c>
      <c r="D12" s="27">
        <f t="shared" si="0"/>
        <v>1.0093309371784827</v>
      </c>
      <c r="E12" s="27">
        <f t="shared" si="2"/>
        <v>-0.30644594650694051</v>
      </c>
      <c r="F12" s="26">
        <v>383</v>
      </c>
      <c r="G12" s="28" t="str">
        <f t="shared" si="1"/>
        <v>✅ On Track</v>
      </c>
    </row>
    <row r="13" spans="1:7" x14ac:dyDescent="0.25">
      <c r="A13" s="31" t="s">
        <v>85</v>
      </c>
      <c r="B13" s="29">
        <v>1988906</v>
      </c>
      <c r="C13" s="29">
        <v>1911962</v>
      </c>
      <c r="D13" s="30">
        <f t="shared" si="0"/>
        <v>1.0402434776423382</v>
      </c>
      <c r="E13" s="30">
        <f t="shared" si="2"/>
        <v>0.77684489260256206</v>
      </c>
      <c r="F13" s="29">
        <v>741</v>
      </c>
      <c r="G13" s="31" t="str">
        <f t="shared" si="1"/>
        <v>✅ On Track</v>
      </c>
    </row>
    <row r="14" spans="1:7" x14ac:dyDescent="0.25">
      <c r="A14" s="28" t="s">
        <v>86</v>
      </c>
      <c r="B14" s="26">
        <v>2220563</v>
      </c>
      <c r="C14" s="26">
        <v>2366839</v>
      </c>
      <c r="D14" s="27">
        <f t="shared" si="0"/>
        <v>0.93819773968571585</v>
      </c>
      <c r="E14" s="27">
        <f t="shared" si="2"/>
        <v>0.1164745845203343</v>
      </c>
      <c r="F14" s="26">
        <v>680</v>
      </c>
      <c r="G14" s="28" t="str">
        <f t="shared" si="1"/>
        <v>⚠️ Below</v>
      </c>
    </row>
    <row r="15" spans="1:7" x14ac:dyDescent="0.25">
      <c r="A15" s="31" t="s">
        <v>87</v>
      </c>
      <c r="B15" s="29">
        <v>1463494</v>
      </c>
      <c r="C15" s="29">
        <v>1429291</v>
      </c>
      <c r="D15" s="30">
        <f t="shared" si="0"/>
        <v>1.0239300464356105</v>
      </c>
      <c r="E15" s="30">
        <f t="shared" si="2"/>
        <v>-0.3409356095728876</v>
      </c>
      <c r="F15" s="29">
        <v>475</v>
      </c>
      <c r="G15" s="31" t="str">
        <f t="shared" si="1"/>
        <v>✅ On Track</v>
      </c>
    </row>
    <row r="16" spans="1:7" x14ac:dyDescent="0.25">
      <c r="A16" s="32" t="s">
        <v>88</v>
      </c>
      <c r="B16" s="33">
        <f>SUM(B4:B15)</f>
        <v>21783439</v>
      </c>
      <c r="C16" s="33">
        <f>SUM(C4:C15)</f>
        <v>22299132</v>
      </c>
      <c r="D16" s="34">
        <f t="shared" si="0"/>
        <v>0.97687385320648357</v>
      </c>
      <c r="E16" s="32"/>
      <c r="F16" s="33">
        <f>SUM(F4:F15)</f>
        <v>6035</v>
      </c>
      <c r="G16" s="32" t="str">
        <f t="shared" si="1"/>
        <v>⚠️ Below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100" workbookViewId="0">
      <selection sqref="A1:F1"/>
    </sheetView>
  </sheetViews>
  <sheetFormatPr defaultColWidth="8.7109375" defaultRowHeight="15" x14ac:dyDescent="0.25"/>
  <cols>
    <col min="1" max="3" width="20" customWidth="1"/>
    <col min="4" max="4" width="16" customWidth="1"/>
    <col min="5" max="5" width="14" customWidth="1"/>
    <col min="6" max="6" width="16" customWidth="1"/>
  </cols>
  <sheetData>
    <row r="1" spans="1:6" ht="30" customHeight="1" x14ac:dyDescent="0.25">
      <c r="A1" s="13" t="s">
        <v>69</v>
      </c>
      <c r="B1" s="13"/>
      <c r="C1" s="13"/>
      <c r="D1" s="13"/>
      <c r="E1" s="13"/>
      <c r="F1" s="13"/>
    </row>
    <row r="3" spans="1:6" x14ac:dyDescent="0.25">
      <c r="A3" s="15" t="s">
        <v>4</v>
      </c>
      <c r="B3" s="15" t="s">
        <v>7</v>
      </c>
      <c r="C3" s="15" t="s">
        <v>8</v>
      </c>
      <c r="D3" s="15" t="s">
        <v>45</v>
      </c>
      <c r="E3" s="15" t="s">
        <v>5</v>
      </c>
      <c r="F3" s="15" t="s">
        <v>70</v>
      </c>
    </row>
    <row r="4" spans="1:6" x14ac:dyDescent="0.25">
      <c r="A4" s="35" t="s">
        <v>12</v>
      </c>
      <c r="B4" s="29">
        <f>SUMIF('Raw Data'!D:D,A4,'Raw Data'!G:G)</f>
        <v>9103736</v>
      </c>
      <c r="C4" s="29">
        <f>SUMIF('Raw Data'!D:D,A4,'Raw Data'!H:H)</f>
        <v>9069086</v>
      </c>
      <c r="D4" s="30">
        <f t="shared" ref="D4:D9" si="0">IFERROR(B4/C4,0)</f>
        <v>1.0038206716751832</v>
      </c>
      <c r="E4" s="29">
        <f>SUMIF('Raw Data'!D:D,A4,'Raw Data'!E:E)</f>
        <v>10464</v>
      </c>
      <c r="F4" s="29">
        <f t="shared" ref="F4:F9" si="1">IFERROR(B4/E4,0)</f>
        <v>870.00535168195722</v>
      </c>
    </row>
    <row r="5" spans="1:6" x14ac:dyDescent="0.25">
      <c r="A5" s="35" t="s">
        <v>13</v>
      </c>
      <c r="B5" s="26">
        <f>SUMIF('Raw Data'!D:D,A5,'Raw Data'!G:G)</f>
        <v>7733839</v>
      </c>
      <c r="C5" s="26">
        <f>SUMIF('Raw Data'!D:D,A5,'Raw Data'!H:H)</f>
        <v>7813455</v>
      </c>
      <c r="D5" s="27">
        <f t="shared" si="0"/>
        <v>0.98981039757700018</v>
      </c>
      <c r="E5" s="26">
        <f>SUMIF('Raw Data'!D:D,A5,'Raw Data'!E:E)</f>
        <v>9961</v>
      </c>
      <c r="F5" s="26">
        <f t="shared" si="1"/>
        <v>776.41190643509685</v>
      </c>
    </row>
    <row r="6" spans="1:6" x14ac:dyDescent="0.25">
      <c r="A6" s="35" t="s">
        <v>14</v>
      </c>
      <c r="B6" s="36">
        <f>SUMIF('Raw Data'!D:D,A6,'Raw Data'!G:G)</f>
        <v>12043222</v>
      </c>
      <c r="C6" s="36">
        <f>SUMIF('Raw Data'!D:D,A6,'Raw Data'!H:H)</f>
        <v>11792729</v>
      </c>
      <c r="D6" s="37">
        <f t="shared" si="0"/>
        <v>1.0212413089455374</v>
      </c>
      <c r="E6" s="36">
        <f>SUMIF('Raw Data'!D:D,A6,'Raw Data'!E:E)</f>
        <v>10778</v>
      </c>
      <c r="F6" s="36">
        <f t="shared" si="1"/>
        <v>1117.3893115605863</v>
      </c>
    </row>
    <row r="7" spans="1:6" x14ac:dyDescent="0.25">
      <c r="A7" s="35" t="s">
        <v>15</v>
      </c>
      <c r="B7" s="39">
        <f>SUMIF('Raw Data'!D:D,A7,'Raw Data'!G:G)</f>
        <v>9729901</v>
      </c>
      <c r="C7" s="39">
        <f>SUMIF('Raw Data'!D:D,A7,'Raw Data'!H:H)</f>
        <v>9864597</v>
      </c>
      <c r="D7" s="40">
        <f t="shared" si="0"/>
        <v>0.98634551416545446</v>
      </c>
      <c r="E7" s="39">
        <f>SUMIF('Raw Data'!D:D,A7,'Raw Data'!E:E)</f>
        <v>10799</v>
      </c>
      <c r="F7" s="39">
        <f t="shared" si="1"/>
        <v>901.00018520233357</v>
      </c>
    </row>
    <row r="8" spans="1:6" x14ac:dyDescent="0.25">
      <c r="A8" s="35" t="s">
        <v>16</v>
      </c>
      <c r="B8" s="42">
        <f>SUMIF('Raw Data'!D:D,A8,'Raw Data'!G:G)</f>
        <v>10374024</v>
      </c>
      <c r="C8" s="42">
        <f>SUMIF('Raw Data'!D:D,A8,'Raw Data'!H:H)</f>
        <v>10376111</v>
      </c>
      <c r="D8" s="43">
        <f t="shared" si="0"/>
        <v>0.99979886491191161</v>
      </c>
      <c r="E8" s="42">
        <f>SUMIF('Raw Data'!D:D,A8,'Raw Data'!E:E)</f>
        <v>10576</v>
      </c>
      <c r="F8" s="42">
        <f t="shared" si="1"/>
        <v>980.90242057488649</v>
      </c>
    </row>
    <row r="9" spans="1:6" x14ac:dyDescent="0.25">
      <c r="A9" s="32" t="s">
        <v>55</v>
      </c>
      <c r="B9" s="33">
        <f>SUM(B4:B8)</f>
        <v>48984722</v>
      </c>
      <c r="C9" s="33">
        <f>SUM(C4:C8)</f>
        <v>48915978</v>
      </c>
      <c r="D9" s="34">
        <f t="shared" si="0"/>
        <v>1.0014053485754695</v>
      </c>
      <c r="E9" s="33">
        <f>SUM(E4:E8)</f>
        <v>52578</v>
      </c>
      <c r="F9" s="33">
        <f t="shared" si="1"/>
        <v>931.65814599262046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Normal="100" workbookViewId="0">
      <selection activeCell="I10" sqref="I10"/>
    </sheetView>
  </sheetViews>
  <sheetFormatPr defaultColWidth="8.7109375" defaultRowHeight="15" x14ac:dyDescent="0.25"/>
  <cols>
    <col min="1" max="1" width="14" customWidth="1"/>
    <col min="2" max="3" width="20" customWidth="1"/>
    <col min="4" max="4" width="16" customWidth="1"/>
    <col min="5" max="5" width="14" customWidth="1"/>
    <col min="6" max="6" width="18" customWidth="1"/>
    <col min="7" max="7" width="10" customWidth="1"/>
  </cols>
  <sheetData>
    <row r="1" spans="1:7" ht="30" customHeight="1" x14ac:dyDescent="0.25">
      <c r="A1" s="13" t="s">
        <v>51</v>
      </c>
      <c r="B1" s="13"/>
      <c r="C1" s="13"/>
      <c r="D1" s="13"/>
      <c r="E1" s="13"/>
      <c r="F1" s="13"/>
      <c r="G1" s="13"/>
    </row>
    <row r="2" spans="1:7" x14ac:dyDescent="0.25">
      <c r="A2" s="12" t="s">
        <v>52</v>
      </c>
      <c r="B2" s="12"/>
      <c r="C2" s="12"/>
      <c r="D2" s="12"/>
      <c r="E2" s="12"/>
      <c r="F2" s="12"/>
      <c r="G2" s="12"/>
    </row>
    <row r="4" spans="1:7" x14ac:dyDescent="0.25">
      <c r="A4" s="15" t="s">
        <v>3</v>
      </c>
      <c r="B4" s="15" t="s">
        <v>7</v>
      </c>
      <c r="C4" s="15" t="s">
        <v>8</v>
      </c>
      <c r="D4" s="15" t="s">
        <v>45</v>
      </c>
      <c r="E4" s="15" t="s">
        <v>5</v>
      </c>
      <c r="F4" s="15" t="s">
        <v>53</v>
      </c>
      <c r="G4" s="15" t="s">
        <v>54</v>
      </c>
    </row>
    <row r="5" spans="1:7" x14ac:dyDescent="0.25">
      <c r="A5" s="35" t="s">
        <v>11</v>
      </c>
      <c r="B5" s="29">
        <f>SUMIF('Raw Data'!C:C,A5,'Raw Data'!G:G)</f>
        <v>9681453</v>
      </c>
      <c r="C5" s="29">
        <f>SUMIF('Raw Data'!C:C,A5,'Raw Data'!H:H)</f>
        <v>9751538</v>
      </c>
      <c r="D5" s="30">
        <f t="shared" ref="D5:D10" si="0">IFERROR(B5/C5,0)</f>
        <v>0.99281292858623937</v>
      </c>
      <c r="E5" s="29">
        <f>SUMIF('Raw Data'!C:C,A5,'Raw Data'!E:E)</f>
        <v>10447</v>
      </c>
      <c r="F5" s="29">
        <f t="shared" ref="F5:F10" si="1">IFERROR(B5/E5,0)</f>
        <v>926.72087680673883</v>
      </c>
      <c r="G5" s="31">
        <f>RANK(B5,B5:B9,0)</f>
        <v>4</v>
      </c>
    </row>
    <row r="6" spans="1:7" x14ac:dyDescent="0.25">
      <c r="A6" s="35" t="s">
        <v>17</v>
      </c>
      <c r="B6" s="26">
        <f>SUMIF('Raw Data'!C:C,A6,'Raw Data'!G:G)</f>
        <v>9862999</v>
      </c>
      <c r="C6" s="26">
        <f>SUMIF('Raw Data'!C:C,A6,'Raw Data'!H:H)</f>
        <v>9831682</v>
      </c>
      <c r="D6" s="27">
        <f t="shared" si="0"/>
        <v>1.0031853145779126</v>
      </c>
      <c r="E6" s="26">
        <f>SUMIF('Raw Data'!C:C,A6,'Raw Data'!E:E)</f>
        <v>11001</v>
      </c>
      <c r="F6" s="26">
        <f t="shared" si="1"/>
        <v>896.55476774838655</v>
      </c>
      <c r="G6" s="28">
        <f>RANK(B6,B5:B9,0)</f>
        <v>2</v>
      </c>
    </row>
    <row r="7" spans="1:7" x14ac:dyDescent="0.25">
      <c r="A7" s="35" t="s">
        <v>18</v>
      </c>
      <c r="B7" s="36">
        <f>SUMIF('Raw Data'!C:C,A7,'Raw Data'!G:G)</f>
        <v>9831177</v>
      </c>
      <c r="C7" s="36">
        <f>SUMIF('Raw Data'!C:C,A7,'Raw Data'!H:H)</f>
        <v>9839583</v>
      </c>
      <c r="D7" s="37">
        <f t="shared" si="0"/>
        <v>0.99914569550355947</v>
      </c>
      <c r="E7" s="36">
        <f>SUMIF('Raw Data'!C:C,A7,'Raw Data'!E:E)</f>
        <v>10923</v>
      </c>
      <c r="F7" s="36">
        <f t="shared" si="1"/>
        <v>900.04366932161497</v>
      </c>
      <c r="G7" s="38">
        <f>RANK(B7,B5:B9,0)</f>
        <v>3</v>
      </c>
    </row>
    <row r="8" spans="1:7" x14ac:dyDescent="0.25">
      <c r="A8" s="35" t="s">
        <v>19</v>
      </c>
      <c r="B8" s="39">
        <f>SUMIF('Raw Data'!C:C,A8,'Raw Data'!G:G)</f>
        <v>9949077</v>
      </c>
      <c r="C8" s="39">
        <f>SUMIF('Raw Data'!C:C,A8,'Raw Data'!H:H)</f>
        <v>9919467</v>
      </c>
      <c r="D8" s="40">
        <f t="shared" si="0"/>
        <v>1.0029850394179445</v>
      </c>
      <c r="E8" s="39">
        <f>SUMIF('Raw Data'!C:C,A8,'Raw Data'!E:E)</f>
        <v>10323</v>
      </c>
      <c r="F8" s="39">
        <f t="shared" si="1"/>
        <v>963.77768090671316</v>
      </c>
      <c r="G8" s="41">
        <f>RANK(B8,B5:B9,0)</f>
        <v>1</v>
      </c>
    </row>
    <row r="9" spans="1:7" x14ac:dyDescent="0.25">
      <c r="A9" s="35" t="s">
        <v>20</v>
      </c>
      <c r="B9" s="42">
        <f>SUMIF('Raw Data'!C:C,A9,'Raw Data'!G:G)</f>
        <v>9660016</v>
      </c>
      <c r="C9" s="42">
        <f>SUMIF('Raw Data'!C:C,A9,'Raw Data'!H:H)</f>
        <v>9573708</v>
      </c>
      <c r="D9" s="43">
        <f t="shared" si="0"/>
        <v>1.0090151067903887</v>
      </c>
      <c r="E9" s="42">
        <f>SUMIF('Raw Data'!C:C,A9,'Raw Data'!E:E)</f>
        <v>9884</v>
      </c>
      <c r="F9" s="42">
        <f t="shared" si="1"/>
        <v>977.33872925940909</v>
      </c>
      <c r="G9" s="44">
        <f>RANK(B9,B5:B9,0)</f>
        <v>5</v>
      </c>
    </row>
    <row r="10" spans="1:7" x14ac:dyDescent="0.25">
      <c r="A10" s="32" t="s">
        <v>55</v>
      </c>
      <c r="B10" s="33">
        <f>SUM(B5:B9)</f>
        <v>48984722</v>
      </c>
      <c r="C10" s="33">
        <f>SUM(C5:C9)</f>
        <v>48915978</v>
      </c>
      <c r="D10" s="34">
        <f t="shared" si="0"/>
        <v>1.0014053485754695</v>
      </c>
      <c r="E10" s="33">
        <f>SUM(E5:E9)</f>
        <v>52578</v>
      </c>
      <c r="F10" s="33">
        <f t="shared" si="1"/>
        <v>931.65814599262046</v>
      </c>
      <c r="G10" s="45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1"/>
  <sheetViews>
    <sheetView topLeftCell="A9" zoomScale="85" zoomScaleNormal="85" workbookViewId="0">
      <selection activeCell="J13" sqref="J13"/>
    </sheetView>
  </sheetViews>
  <sheetFormatPr defaultColWidth="8.7109375" defaultRowHeight="15" x14ac:dyDescent="0.25"/>
  <cols>
    <col min="1" max="3" width="14" customWidth="1"/>
    <col min="4" max="4" width="4" customWidth="1"/>
    <col min="5" max="7" width="12" customWidth="1"/>
    <col min="8" max="8" width="4" customWidth="1"/>
    <col min="9" max="10" width="12" customWidth="1"/>
  </cols>
  <sheetData>
    <row r="1" spans="1:21" ht="34.5" customHeight="1" x14ac:dyDescent="0.25">
      <c r="A1" s="11" t="s">
        <v>56</v>
      </c>
      <c r="B1" s="11"/>
      <c r="C1" s="11"/>
      <c r="D1" s="11"/>
      <c r="E1" s="11"/>
      <c r="F1" s="11"/>
      <c r="G1" s="11"/>
      <c r="H1" s="11"/>
      <c r="I1" s="11"/>
      <c r="J1" s="11"/>
      <c r="L1" s="1" t="s">
        <v>65</v>
      </c>
      <c r="M1" s="1"/>
      <c r="N1" s="1"/>
      <c r="O1" s="1"/>
      <c r="P1" s="1"/>
      <c r="Q1" s="1"/>
      <c r="R1" s="1"/>
      <c r="S1" s="1"/>
      <c r="T1" s="1"/>
      <c r="U1" s="1"/>
    </row>
    <row r="2" spans="1:21" ht="18" customHeight="1" x14ac:dyDescent="0.25">
      <c r="A2" s="12" t="s">
        <v>57</v>
      </c>
      <c r="B2" s="12"/>
      <c r="C2" s="12"/>
      <c r="D2" s="12"/>
      <c r="E2" s="12"/>
      <c r="F2" s="12"/>
      <c r="G2" s="12"/>
      <c r="H2" s="12"/>
      <c r="I2" s="12"/>
      <c r="J2" s="12"/>
      <c r="L2" s="55" t="s">
        <v>2</v>
      </c>
      <c r="M2" s="24" t="s">
        <v>66</v>
      </c>
      <c r="N2" s="24" t="s">
        <v>67</v>
      </c>
    </row>
    <row r="3" spans="1:21" x14ac:dyDescent="0.25">
      <c r="L3" s="46" t="s">
        <v>10</v>
      </c>
      <c r="M3" s="47">
        <f>'Monthly MIS Report'!B5</f>
        <v>3900010</v>
      </c>
      <c r="N3" s="47">
        <f>'Monthly MIS Report'!C5</f>
        <v>3719925</v>
      </c>
    </row>
    <row r="4" spans="1:21" ht="21.75" customHeight="1" x14ac:dyDescent="0.25">
      <c r="A4" s="10" t="s">
        <v>58</v>
      </c>
      <c r="B4" s="10"/>
      <c r="D4" s="12" t="s">
        <v>59</v>
      </c>
      <c r="E4" s="12"/>
      <c r="G4" s="9" t="s">
        <v>60</v>
      </c>
      <c r="H4" s="9"/>
      <c r="L4" s="48" t="s">
        <v>22</v>
      </c>
      <c r="M4" s="49">
        <f>'Monthly MIS Report'!B6</f>
        <v>4124991</v>
      </c>
      <c r="N4" s="49">
        <f>'Monthly MIS Report'!C6</f>
        <v>4118669</v>
      </c>
    </row>
    <row r="5" spans="1:21" ht="34.5" customHeight="1" x14ac:dyDescent="0.25">
      <c r="B5" s="8">
        <f>'Monthly MIS Report'!B17</f>
        <v>48984722</v>
      </c>
      <c r="C5" s="8"/>
      <c r="E5" s="7">
        <f>'Monthly MIS Report'!C17</f>
        <v>48915978</v>
      </c>
      <c r="F5" s="7"/>
      <c r="H5" s="6">
        <f>IFERROR('Monthly MIS Report'!D17,0)</f>
        <v>1.0014053485754695</v>
      </c>
      <c r="I5" s="6"/>
      <c r="L5" s="46" t="s">
        <v>24</v>
      </c>
      <c r="M5" s="47">
        <f>'Monthly MIS Report'!B7</f>
        <v>3987163</v>
      </c>
      <c r="N5" s="47">
        <f>'Monthly MIS Report'!C7</f>
        <v>3985593</v>
      </c>
    </row>
    <row r="6" spans="1:21" x14ac:dyDescent="0.25">
      <c r="L6" s="48" t="s">
        <v>26</v>
      </c>
      <c r="M6" s="49">
        <f>'Monthly MIS Report'!B8</f>
        <v>4072306</v>
      </c>
      <c r="N6" s="49">
        <f>'Monthly MIS Report'!C8</f>
        <v>4199450</v>
      </c>
    </row>
    <row r="7" spans="1:21" ht="21.75" customHeight="1" x14ac:dyDescent="0.25">
      <c r="A7" s="5" t="s">
        <v>61</v>
      </c>
      <c r="B7" s="5"/>
      <c r="D7" s="10" t="s">
        <v>62</v>
      </c>
      <c r="E7" s="10"/>
      <c r="G7" s="9" t="s">
        <v>63</v>
      </c>
      <c r="H7" s="9"/>
      <c r="L7" s="46" t="s">
        <v>28</v>
      </c>
      <c r="M7" s="47">
        <f>'Monthly MIS Report'!B9</f>
        <v>3515793</v>
      </c>
      <c r="N7" s="47">
        <f>'Monthly MIS Report'!C9</f>
        <v>3585945</v>
      </c>
    </row>
    <row r="8" spans="1:21" ht="34.5" customHeight="1" x14ac:dyDescent="0.25">
      <c r="B8" s="4">
        <f>'Monthly MIS Report'!F17</f>
        <v>52578</v>
      </c>
      <c r="C8" s="4"/>
      <c r="E8" s="8">
        <f>'Monthly MIS Report'!G17</f>
        <v>931.65814599262046</v>
      </c>
      <c r="F8" s="8"/>
      <c r="H8" s="6">
        <f>'Monthly MIS Report'!E17</f>
        <v>-6.4265476242368613E-2</v>
      </c>
      <c r="I8" s="6"/>
      <c r="L8" s="48" t="s">
        <v>30</v>
      </c>
      <c r="M8" s="49">
        <f>'Monthly MIS Report'!B10</f>
        <v>4425759</v>
      </c>
      <c r="N8" s="49">
        <f>'Monthly MIS Report'!C10</f>
        <v>4303496</v>
      </c>
    </row>
    <row r="9" spans="1:21" x14ac:dyDescent="0.25">
      <c r="L9" s="46" t="s">
        <v>32</v>
      </c>
      <c r="M9" s="47">
        <f>'Monthly MIS Report'!B11</f>
        <v>4820268</v>
      </c>
      <c r="N9" s="47">
        <f>'Monthly MIS Report'!C11</f>
        <v>4786397</v>
      </c>
    </row>
    <row r="10" spans="1:21" x14ac:dyDescent="0.25">
      <c r="A10" s="3" t="s">
        <v>64</v>
      </c>
      <c r="B10" s="3"/>
      <c r="C10" s="3"/>
      <c r="D10" s="3"/>
      <c r="L10" s="48" t="s">
        <v>34</v>
      </c>
      <c r="M10" s="49">
        <f>'Monthly MIS Report'!B12</f>
        <v>4732567</v>
      </c>
      <c r="N10" s="49">
        <f>'Monthly MIS Report'!C12</f>
        <v>4762496</v>
      </c>
    </row>
    <row r="11" spans="1:21" ht="31.5" customHeight="1" x14ac:dyDescent="0.25">
      <c r="A11" s="2" t="str">
        <f>INDEX('Regional Analysis'!A5:A9,MATCH(MAX('Regional Analysis'!B5:B9),'Regional Analysis'!B5:B9,0))</f>
        <v>West</v>
      </c>
      <c r="B11" s="2"/>
      <c r="C11" s="2"/>
      <c r="D11" s="2"/>
      <c r="L11" s="46" t="s">
        <v>36</v>
      </c>
      <c r="M11" s="47">
        <f>'Monthly MIS Report'!B13</f>
        <v>3688891</v>
      </c>
      <c r="N11" s="47">
        <f>'Monthly MIS Report'!C13</f>
        <v>3657718</v>
      </c>
    </row>
    <row r="12" spans="1:21" x14ac:dyDescent="0.25">
      <c r="L12" s="48" t="s">
        <v>38</v>
      </c>
      <c r="M12" s="49">
        <f>'Monthly MIS Report'!B14</f>
        <v>3926202</v>
      </c>
      <c r="N12" s="49">
        <f>'Monthly MIS Report'!C14</f>
        <v>3937240</v>
      </c>
    </row>
    <row r="13" spans="1:21" ht="21.75" customHeight="1" x14ac:dyDescent="0.25">
      <c r="L13" s="46" t="s">
        <v>40</v>
      </c>
      <c r="M13" s="47">
        <f>'Monthly MIS Report'!B15</f>
        <v>4141398</v>
      </c>
      <c r="N13" s="47">
        <f>'Monthly MIS Report'!C15</f>
        <v>4156139</v>
      </c>
    </row>
    <row r="14" spans="1:21" x14ac:dyDescent="0.25">
      <c r="L14" s="48" t="s">
        <v>42</v>
      </c>
      <c r="M14" s="49">
        <f>'Monthly MIS Report'!B16</f>
        <v>3649374</v>
      </c>
      <c r="N14" s="49">
        <f>'Monthly MIS Report'!C16</f>
        <v>3702910</v>
      </c>
    </row>
    <row r="17" spans="1:10" x14ac:dyDescent="0.25">
      <c r="A17" s="54" t="s">
        <v>68</v>
      </c>
      <c r="B17" s="54"/>
      <c r="C17" s="54"/>
      <c r="D17" s="54"/>
      <c r="E17" s="54"/>
      <c r="F17" s="54"/>
      <c r="G17" s="54"/>
      <c r="H17" s="54"/>
      <c r="I17" s="54"/>
      <c r="J17" s="54"/>
    </row>
    <row r="18" spans="1:10" x14ac:dyDescent="0.25">
      <c r="A18" s="24" t="s">
        <v>3</v>
      </c>
      <c r="B18" s="24" t="s">
        <v>66</v>
      </c>
      <c r="C18" s="24" t="s">
        <v>67</v>
      </c>
    </row>
    <row r="19" spans="1:10" x14ac:dyDescent="0.25">
      <c r="A19" s="46" t="s">
        <v>11</v>
      </c>
      <c r="B19" s="47">
        <f>'Regional Analysis'!B5</f>
        <v>9681453</v>
      </c>
      <c r="C19" s="47">
        <f>'Regional Analysis'!C5</f>
        <v>9751538</v>
      </c>
    </row>
    <row r="20" spans="1:10" x14ac:dyDescent="0.25">
      <c r="A20" s="48" t="s">
        <v>17</v>
      </c>
      <c r="B20" s="49">
        <f>'Regional Analysis'!B6</f>
        <v>9862999</v>
      </c>
      <c r="C20" s="49">
        <f>'Regional Analysis'!C6</f>
        <v>9831682</v>
      </c>
    </row>
    <row r="21" spans="1:10" x14ac:dyDescent="0.25">
      <c r="A21" s="46" t="s">
        <v>18</v>
      </c>
      <c r="B21" s="47">
        <f>'Regional Analysis'!B7</f>
        <v>9831177</v>
      </c>
      <c r="C21" s="47">
        <f>'Regional Analysis'!C7</f>
        <v>9839583</v>
      </c>
    </row>
    <row r="22" spans="1:10" x14ac:dyDescent="0.25">
      <c r="A22" s="48" t="s">
        <v>19</v>
      </c>
      <c r="B22" s="49">
        <f>'Regional Analysis'!B8</f>
        <v>9949077</v>
      </c>
      <c r="C22" s="49">
        <f>'Regional Analysis'!C8</f>
        <v>9919467</v>
      </c>
    </row>
    <row r="23" spans="1:10" x14ac:dyDescent="0.25">
      <c r="A23" s="46" t="s">
        <v>20</v>
      </c>
      <c r="B23" s="47">
        <f>'Regional Analysis'!B9</f>
        <v>9660016</v>
      </c>
      <c r="C23" s="47">
        <f>'Regional Analysis'!C9</f>
        <v>9573708</v>
      </c>
    </row>
    <row r="31" spans="1:10" ht="21.75" customHeight="1" x14ac:dyDescent="0.25"/>
  </sheetData>
  <mergeCells count="18">
    <mergeCell ref="L1:U1"/>
    <mergeCell ref="A17:J17"/>
    <mergeCell ref="B8:C8"/>
    <mergeCell ref="E8:F8"/>
    <mergeCell ref="H8:I8"/>
    <mergeCell ref="A10:D10"/>
    <mergeCell ref="A11:D11"/>
    <mergeCell ref="B5:C5"/>
    <mergeCell ref="E5:F5"/>
    <mergeCell ref="H5:I5"/>
    <mergeCell ref="A7:B7"/>
    <mergeCell ref="D7:E7"/>
    <mergeCell ref="G7:H7"/>
    <mergeCell ref="A1:J1"/>
    <mergeCell ref="A2:J2"/>
    <mergeCell ref="A4:B4"/>
    <mergeCell ref="D4:E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Monthly MIS Report</vt:lpstr>
      <vt:lpstr>Weekly MIS</vt:lpstr>
      <vt:lpstr>Product Analysis</vt:lpstr>
      <vt:lpstr>Regional Analysis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SONY</cp:lastModifiedBy>
  <cp:revision>1</cp:revision>
  <dcterms:created xsi:type="dcterms:W3CDTF">2026-05-17T16:51:04Z</dcterms:created>
  <dcterms:modified xsi:type="dcterms:W3CDTF">2026-05-17T17:45:25Z</dcterms:modified>
  <dc:language>en-US</dc:language>
</cp:coreProperties>
</file>